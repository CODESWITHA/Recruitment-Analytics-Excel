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drie\Documents\DATA ANALYSIS\"/>
    </mc:Choice>
  </mc:AlternateContent>
  <xr:revisionPtr revIDLastSave="0" documentId="13_ncr:1_{C8522B21-F0C7-4695-9D40-79FC29D2292A}" xr6:coauthVersionLast="47" xr6:coauthVersionMax="47" xr10:uidLastSave="{00000000-0000-0000-0000-000000000000}"/>
  <bookViews>
    <workbookView xWindow="-108" yWindow="-108" windowWidth="23256" windowHeight="12456" activeTab="1" xr2:uid="{1996F022-5CAB-4F2C-B320-E28A747713C5}"/>
  </bookViews>
  <sheets>
    <sheet name="HR Saudi Recruitment Data" sheetId="1" r:id="rId1"/>
    <sheet name="Analysis" sheetId="2" r:id="rId2"/>
    <sheet name="Dashboard" sheetId="3" r:id="rId3"/>
  </sheets>
  <definedNames>
    <definedName name="Slicer_Department">#N/A</definedName>
    <definedName name="Slicer_Position_Applied">#N/A</definedName>
  </definedNames>
  <calcPr calcId="0"/>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0" i="2" l="1" a="1"/>
  <c r="D20" i="2" s="1"/>
  <c r="C6" i="2"/>
  <c r="A27"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<sst xmlns="http://schemas.openxmlformats.org/spreadsheetml/2006/main" count="918" uniqueCount="405">
  <si>
    <t>CAND-1001</t>
  </si>
  <si>
    <t>Abdullah Al-Qahtani</t>
  </si>
  <si>
    <t>Data Analyst</t>
  </si>
  <si>
    <t>Analytics</t>
  </si>
  <si>
    <t>LinkedIn</t>
  </si>
  <si>
    <t>Offer</t>
  </si>
  <si>
    <t>Hired</t>
  </si>
  <si>
    <t>CAND-1002</t>
  </si>
  <si>
    <t>Sara Al-Otaibi</t>
  </si>
  <si>
    <t>HR Specialist</t>
  </si>
  <si>
    <t>Human Resources</t>
  </si>
  <si>
    <t>Bayt.com</t>
  </si>
  <si>
    <t>Interview</t>
  </si>
  <si>
    <t>In Progress</t>
  </si>
  <si>
    <t>CAND-1003</t>
  </si>
  <si>
    <t>Mohammed Al-Harbi</t>
  </si>
  <si>
    <t>Software Engineer</t>
  </si>
  <si>
    <t>IT</t>
  </si>
  <si>
    <t>Technical Test</t>
  </si>
  <si>
    <t>CAND-1004</t>
  </si>
  <si>
    <t>Noura Al-Shammari</t>
  </si>
  <si>
    <t>Marketing Coordinator</t>
  </si>
  <si>
    <t>Marketing</t>
  </si>
  <si>
    <t>Referral</t>
  </si>
  <si>
    <t>Screening</t>
  </si>
  <si>
    <t>CAND-1005</t>
  </si>
  <si>
    <t>Khaled Al-Dosari</t>
  </si>
  <si>
    <t>Financial Analyst</t>
  </si>
  <si>
    <t>Finance</t>
  </si>
  <si>
    <t>Rejected</t>
  </si>
  <si>
    <t>CAND-1006</t>
  </si>
  <si>
    <t>Fatimah Al-Zahrani</t>
  </si>
  <si>
    <t>UX Designer</t>
  </si>
  <si>
    <t>Product</t>
  </si>
  <si>
    <t>Company Website</t>
  </si>
  <si>
    <t>CAND-1007</t>
  </si>
  <si>
    <t>Yousef Al-Ghamdi</t>
  </si>
  <si>
    <t>Sales Executive</t>
  </si>
  <si>
    <t>Sales</t>
  </si>
  <si>
    <t>Indeed</t>
  </si>
  <si>
    <t>CAND-1008</t>
  </si>
  <si>
    <t>Rana Al-Mutairi</t>
  </si>
  <si>
    <t>Accountant</t>
  </si>
  <si>
    <t>HR Interview</t>
  </si>
  <si>
    <t>CAND-1009</t>
  </si>
  <si>
    <t>Omar Al-Subaie</t>
  </si>
  <si>
    <t>Project Manager</t>
  </si>
  <si>
    <t>Operations</t>
  </si>
  <si>
    <t>CAND-1010</t>
  </si>
  <si>
    <t>Lina Al-Anazi</t>
  </si>
  <si>
    <t>Recruiter</t>
  </si>
  <si>
    <t>CAND-1011</t>
  </si>
  <si>
    <t>Faisal Al-Rashidi</t>
  </si>
  <si>
    <t>DevOps Engineer</t>
  </si>
  <si>
    <t>CAND-1012</t>
  </si>
  <si>
    <t>Mona Al-Qurashi</t>
  </si>
  <si>
    <t>Content Writer</t>
  </si>
  <si>
    <t>CAND-1013</t>
  </si>
  <si>
    <t>Hassan Al-Bishi</t>
  </si>
  <si>
    <t>Business Analyst</t>
  </si>
  <si>
    <t>CAND-1014</t>
  </si>
  <si>
    <t>Aisha Al-Faraj</t>
  </si>
  <si>
    <t>Administrative Assistant</t>
  </si>
  <si>
    <t>CAND-1015</t>
  </si>
  <si>
    <t>Bandar Al-Mansour</t>
  </si>
  <si>
    <t>Sales Manager</t>
  </si>
  <si>
    <t>Final Interview</t>
  </si>
  <si>
    <t>CAND-1016</t>
  </si>
  <si>
    <t>Reem Al-Saleh</t>
  </si>
  <si>
    <t>Graphic Designer</t>
  </si>
  <si>
    <t>Behance</t>
  </si>
  <si>
    <t>CAND-1017</t>
  </si>
  <si>
    <t>Salem Al-Otaibi</t>
  </si>
  <si>
    <t>Data Engineer</t>
  </si>
  <si>
    <t>CAND-1018</t>
  </si>
  <si>
    <t>Hind Al-Dossari</t>
  </si>
  <si>
    <t>Talent Acquisition</t>
  </si>
  <si>
    <t>CAND-1019</t>
  </si>
  <si>
    <t>Turki Al-Qahtani</t>
  </si>
  <si>
    <t>Network Engineer</t>
  </si>
  <si>
    <t>CAND-1020</t>
  </si>
  <si>
    <t>Maha Al-Harbi</t>
  </si>
  <si>
    <t>Customer Service Rep</t>
  </si>
  <si>
    <t>CAND-1021</t>
  </si>
  <si>
    <t>Ahmed Al-Zahrani</t>
  </si>
  <si>
    <t>Procurement Officer</t>
  </si>
  <si>
    <t>CAND-1022</t>
  </si>
  <si>
    <t>Dalal Al-Shehri</t>
  </si>
  <si>
    <t>Marketing Manager</t>
  </si>
  <si>
    <t>CAND-1023</t>
  </si>
  <si>
    <t>Ibrahim Al-Mutairi</t>
  </si>
  <si>
    <t>Frontend Developer</t>
  </si>
  <si>
    <t>GitHub Jobs</t>
  </si>
  <si>
    <t>CAND-1024</t>
  </si>
  <si>
    <t>Wafa Al-Ghamdi</t>
  </si>
  <si>
    <t>Payroll Specialist</t>
  </si>
  <si>
    <t>CAND-1025</t>
  </si>
  <si>
    <t>Sultan Al-Anazi</t>
  </si>
  <si>
    <t>Operations Manager</t>
  </si>
  <si>
    <t>CAND-1026</t>
  </si>
  <si>
    <t>Latifah Al-Qurashi</t>
  </si>
  <si>
    <t>Junior Accountant</t>
  </si>
  <si>
    <t>CAND-1027</t>
  </si>
  <si>
    <t>Nawaf Al-Dosari</t>
  </si>
  <si>
    <t>Cloud Architect</t>
  </si>
  <si>
    <t>CAND-1028</t>
  </si>
  <si>
    <t>Shaden Al-Subaie</t>
  </si>
  <si>
    <t>HR Business Partner</t>
  </si>
  <si>
    <t>CAND-1029</t>
  </si>
  <si>
    <t>Majed Al-Bishi</t>
  </si>
  <si>
    <t>CAND-1030</t>
  </si>
  <si>
    <t>Hala Al-Faraj</t>
  </si>
  <si>
    <t>UI Designer</t>
  </si>
  <si>
    <t>Dribbble</t>
  </si>
  <si>
    <t>CAND-1031</t>
  </si>
  <si>
    <t>Rakan Al-Mansour</t>
  </si>
  <si>
    <t>Financial Controller</t>
  </si>
  <si>
    <t>CAND-1032</t>
  </si>
  <si>
    <t>Amal Al-Saleh</t>
  </si>
  <si>
    <t>Social Media Specialist</t>
  </si>
  <si>
    <t>CAND-1033</t>
  </si>
  <si>
    <t>Waleed Al-Otaibi</t>
  </si>
  <si>
    <t>Backend Developer</t>
  </si>
  <si>
    <t>CAND-1034</t>
  </si>
  <si>
    <t>Ghada Al-Harbi</t>
  </si>
  <si>
    <t>Office Manager</t>
  </si>
  <si>
    <t>CAND-1035</t>
  </si>
  <si>
    <t>Saad Al-Zahrani</t>
  </si>
  <si>
    <t>Data Scientist</t>
  </si>
  <si>
    <t>CAND-1036</t>
  </si>
  <si>
    <t>Norah Al-Shammari</t>
  </si>
  <si>
    <t>Training Coordinator</t>
  </si>
  <si>
    <t>CAND-1037</t>
  </si>
  <si>
    <t>Fahad Al-Qahtani</t>
  </si>
  <si>
    <t>QA Engineer</t>
  </si>
  <si>
    <t>CAND-1038</t>
  </si>
  <si>
    <t>Sumaya Al-Dosari</t>
  </si>
  <si>
    <t>Brand Manager</t>
  </si>
  <si>
    <t>CAND-1039</t>
  </si>
  <si>
    <t>Talal Al-Ghamdi</t>
  </si>
  <si>
    <t>Internal Auditor</t>
  </si>
  <si>
    <t>CAND-1040</t>
  </si>
  <si>
    <t>Bushra Al-Mutairi</t>
  </si>
  <si>
    <t>Junior Recruiter</t>
  </si>
  <si>
    <t>CAND-1041</t>
  </si>
  <si>
    <t>Naif Al-Anazi</t>
  </si>
  <si>
    <t>Mobile Developer</t>
  </si>
  <si>
    <t>CAND-1042</t>
  </si>
  <si>
    <t>Asma Al-Qurashi</t>
  </si>
  <si>
    <t>Receptionist</t>
  </si>
  <si>
    <t>CAND-1043</t>
  </si>
  <si>
    <t>Khalifah Al-Subaie</t>
  </si>
  <si>
    <t>Solutions Architect</t>
  </si>
  <si>
    <t>CAND-1044</t>
  </si>
  <si>
    <t>Rawan Al-Bishi</t>
  </si>
  <si>
    <t>SEO Specialist</t>
  </si>
  <si>
    <t>CAND-1045</t>
  </si>
  <si>
    <t>Mansour Al-Faraj</t>
  </si>
  <si>
    <t>Account Manager</t>
  </si>
  <si>
    <t>CAND-1046</t>
  </si>
  <si>
    <t>Tala Al-Mansour</t>
  </si>
  <si>
    <t>Compensation Analyst</t>
  </si>
  <si>
    <t>CAND-1047</t>
  </si>
  <si>
    <t>Hamad Al-Saleh</t>
  </si>
  <si>
    <t>Database Administrator</t>
  </si>
  <si>
    <t>CAND-1048</t>
  </si>
  <si>
    <t>Jood Al-Otaibi</t>
  </si>
  <si>
    <t>Event Coordinator</t>
  </si>
  <si>
    <t>Withdrawn</t>
  </si>
  <si>
    <t>CAND-1049</t>
  </si>
  <si>
    <t>Saleh Al-Harbi</t>
  </si>
  <si>
    <t>Treasury Analyst</t>
  </si>
  <si>
    <t>CAND-1050</t>
  </si>
  <si>
    <t>Sana Al-Zahrani</t>
  </si>
  <si>
    <t>Learning &amp; Dev Specialist</t>
  </si>
  <si>
    <t>CAND-1051</t>
  </si>
  <si>
    <t>Ziyad Al-Shammari</t>
  </si>
  <si>
    <t>Cybersecurity Analyst</t>
  </si>
  <si>
    <t>CAND-1052</t>
  </si>
  <si>
    <t>Lujain Al-Qahtani</t>
  </si>
  <si>
    <t>Junior Designer</t>
  </si>
  <si>
    <t>CAND-1053</t>
  </si>
  <si>
    <t>Bader Al-Dosari</t>
  </si>
  <si>
    <t>Supply Chain Analyst</t>
  </si>
  <si>
    <t>CAND-1054</t>
  </si>
  <si>
    <t>Nada Al-Ghamdi</t>
  </si>
  <si>
    <t>HR Coordinator</t>
  </si>
  <si>
    <t>CAND-1055</t>
  </si>
  <si>
    <t>Yazid Al-Mutairi</t>
  </si>
  <si>
    <t>Full Stack Developer</t>
  </si>
  <si>
    <t>CAND-1056</t>
  </si>
  <si>
    <t>Raghad Al-Anazi</t>
  </si>
  <si>
    <t>Marketing Analyst</t>
  </si>
  <si>
    <t>CAND-1057</t>
  </si>
  <si>
    <t>Mishal Al-Qurashi</t>
  </si>
  <si>
    <t>Logistics Coordinator</t>
  </si>
  <si>
    <t>CAND-1058</t>
  </si>
  <si>
    <t>Areej Al-Subaie</t>
  </si>
  <si>
    <t>Tax Specialist</t>
  </si>
  <si>
    <t>CAND-1059</t>
  </si>
  <si>
    <t>Abdulrahman Al-Bishi</t>
  </si>
  <si>
    <t>Product Manager</t>
  </si>
  <si>
    <t>CAND-1060</t>
  </si>
  <si>
    <t>Manal Al-Faraj</t>
  </si>
  <si>
    <t>Executive Assistant</t>
  </si>
  <si>
    <t>CAND-1061</t>
  </si>
  <si>
    <t>Khalid Al-Mansour</t>
  </si>
  <si>
    <t>Java Developer</t>
  </si>
  <si>
    <t>CAND-1062</t>
  </si>
  <si>
    <t>Reema Al-Saleh</t>
  </si>
  <si>
    <t>PR Specialist</t>
  </si>
  <si>
    <t>CAND-1063</t>
  </si>
  <si>
    <t>Tariq Al-Otaibi</t>
  </si>
  <si>
    <t>Inside Sales Rep</t>
  </si>
  <si>
    <t>CAND-1064</t>
  </si>
  <si>
    <t>Hessa Al-Harbi</t>
  </si>
  <si>
    <t>HRIS Analyst</t>
  </si>
  <si>
    <t>CAND-1065</t>
  </si>
  <si>
    <t>Mazen Al-Zahrani</t>
  </si>
  <si>
    <t>Site Reliability Engineer</t>
  </si>
  <si>
    <t>CAND-1066</t>
  </si>
  <si>
    <t>Lubna Al-Shammari</t>
  </si>
  <si>
    <t>Copywriter</t>
  </si>
  <si>
    <t>CAND-1067</t>
  </si>
  <si>
    <t>Sami Al-Qahtani</t>
  </si>
  <si>
    <t>Risk Analyst</t>
  </si>
  <si>
    <t>CAND-1068</t>
  </si>
  <si>
    <t>Atheer Al-Dosari</t>
  </si>
  <si>
    <t>Onboarding Specialist</t>
  </si>
  <si>
    <t>CAND-1069</t>
  </si>
  <si>
    <t>Nasser Al-Ghamdi</t>
  </si>
  <si>
    <t>Machine Learning Engineer</t>
  </si>
  <si>
    <t>CAND-1070</t>
  </si>
  <si>
    <t>Wejdan Al-Mutairi</t>
  </si>
  <si>
    <t>Brand Strategist</t>
  </si>
  <si>
    <t>CAND-1071</t>
  </si>
  <si>
    <t>Faris Al-Anazi</t>
  </si>
  <si>
    <t>Systems Administrator</t>
  </si>
  <si>
    <t>CAND-1072</t>
  </si>
  <si>
    <t>Joud Al-Qurashi</t>
  </si>
  <si>
    <t>HR Generalist</t>
  </si>
  <si>
    <t>CAND-1073</t>
  </si>
  <si>
    <t>Anas Al-Subaie</t>
  </si>
  <si>
    <t>Sales Engineer</t>
  </si>
  <si>
    <t>CAND-1074</t>
  </si>
  <si>
    <t>Maram Al-Bishi</t>
  </si>
  <si>
    <t>Financial Reporting Analyst</t>
  </si>
  <si>
    <t>CAND-1075</t>
  </si>
  <si>
    <t>Ayman Al-Faraj</t>
  </si>
  <si>
    <t>IT Support Specialist</t>
  </si>
  <si>
    <t>CAND-1076</t>
  </si>
  <si>
    <t>Rasha Al-Mansour</t>
  </si>
  <si>
    <t>Product Designer</t>
  </si>
  <si>
    <t>CAND-1077</t>
  </si>
  <si>
    <t>Mutlaq Al-Saleh</t>
  </si>
  <si>
    <t>Procurement Manager</t>
  </si>
  <si>
    <t>CAND-1078</t>
  </si>
  <si>
    <t>Sireen Al-Otaibi</t>
  </si>
  <si>
    <t>Junior Marketing Specialist</t>
  </si>
  <si>
    <t>CAND-1079</t>
  </si>
  <si>
    <t>Raed Al-Harbi</t>
  </si>
  <si>
    <t>CAND-1080</t>
  </si>
  <si>
    <t>Bayan Al-Zahrani</t>
  </si>
  <si>
    <t>Compensation &amp; Benefits</t>
  </si>
  <si>
    <t>CAND-1081</t>
  </si>
  <si>
    <t>Hussam Al-Shammari</t>
  </si>
  <si>
    <t>CAND-1082</t>
  </si>
  <si>
    <t>Daliah Al-Qahtani</t>
  </si>
  <si>
    <t>Office Assistant</t>
  </si>
  <si>
    <t>CAND-1083</t>
  </si>
  <si>
    <t>Meshal Al-Dosari</t>
  </si>
  <si>
    <t>FP&amp;A Analyst</t>
  </si>
  <si>
    <t>CAND-1084</t>
  </si>
  <si>
    <t>Aljohara Al-Ghamdi</t>
  </si>
  <si>
    <t>Recruitment Coordinator</t>
  </si>
  <si>
    <t>CAND-1085</t>
  </si>
  <si>
    <t>Fawaz Al-Mutairi</t>
  </si>
  <si>
    <t>iOS Developer</t>
  </si>
  <si>
    <t>CAND-1086</t>
  </si>
  <si>
    <t>Rita Al-Anazi</t>
  </si>
  <si>
    <t>Digital Marketing Specialist</t>
  </si>
  <si>
    <t>CAND-1087</t>
  </si>
  <si>
    <t>Abdulaziz Al-Qurashi</t>
  </si>
  <si>
    <t>Senior Auditor</t>
  </si>
  <si>
    <t>CAND-1088</t>
  </si>
  <si>
    <t>Sadeem Al-Subaie</t>
  </si>
  <si>
    <t>Talent Sourcer</t>
  </si>
  <si>
    <t>CAND-1089</t>
  </si>
  <si>
    <t>Hatim Al-Bishi</t>
  </si>
  <si>
    <t>AI Engineer</t>
  </si>
  <si>
    <t>CAND-1090</t>
  </si>
  <si>
    <t>Bashayer Al-Faraj</t>
  </si>
  <si>
    <t>Communications Officer</t>
  </si>
  <si>
    <t>CAND-1091</t>
  </si>
  <si>
    <t>Mohannad Al-Mansour</t>
  </si>
  <si>
    <t>Field Sales Rep</t>
  </si>
  <si>
    <t>CAND-1092</t>
  </si>
  <si>
    <t>Wateen Al-Saleh</t>
  </si>
  <si>
    <t>UX Researcher</t>
  </si>
  <si>
    <t>CAND-1093</t>
  </si>
  <si>
    <t>Yasser Al-Otaibi</t>
  </si>
  <si>
    <t>SAP Consultant</t>
  </si>
  <si>
    <t>CAND-1094</t>
  </si>
  <si>
    <t>Razan Al-Harbi</t>
  </si>
  <si>
    <t>Employee Relations Specialist</t>
  </si>
  <si>
    <t>CAND-1095</t>
  </si>
  <si>
    <t>Hazem Al-Zahrani</t>
  </si>
  <si>
    <t>CAND-1096</t>
  </si>
  <si>
    <t>Mai Al-Shammari</t>
  </si>
  <si>
    <t>Marketing Director</t>
  </si>
  <si>
    <t>CAND-1097</t>
  </si>
  <si>
    <t>Adel Al-Qahtani</t>
  </si>
  <si>
    <t>Help Desk Technician</t>
  </si>
  <si>
    <t>CAND-1098</t>
  </si>
  <si>
    <t>Salma Al-Dosari</t>
  </si>
  <si>
    <t>Junior HR Specialist</t>
  </si>
  <si>
    <t>CAND-1099</t>
  </si>
  <si>
    <t>Bassam Al-Ghamdi</t>
  </si>
  <si>
    <t>BI Developer</t>
  </si>
  <si>
    <t>CAND-1100</t>
  </si>
  <si>
    <t>Tasneem Al-Mutairi</t>
  </si>
  <si>
    <t>Visual Designer</t>
  </si>
  <si>
    <t>CAND-1101</t>
  </si>
  <si>
    <t>Saud Al-Anazi</t>
  </si>
  <si>
    <t>Sales Director</t>
  </si>
  <si>
    <t>CAND-1102</t>
  </si>
  <si>
    <t>Lara Al-Qurashi</t>
  </si>
  <si>
    <t>HR Manager</t>
  </si>
  <si>
    <t>CAND-1103</t>
  </si>
  <si>
    <t>Walid Al-Subaie</t>
  </si>
  <si>
    <t>Penetration Tester</t>
  </si>
  <si>
    <t>CAND-1104</t>
  </si>
  <si>
    <t>Ghaida Al-Bishi</t>
  </si>
  <si>
    <t>Content Strategist</t>
  </si>
  <si>
    <t>CAND-1105</t>
  </si>
  <si>
    <t>Ammar Al-Faraj</t>
  </si>
  <si>
    <t>Credit Analyst</t>
  </si>
  <si>
    <t>CAND-1106</t>
  </si>
  <si>
    <t>Reefan Al-Mansour</t>
  </si>
  <si>
    <t>Talent Acquisition Lead</t>
  </si>
  <si>
    <t>CAND-1107</t>
  </si>
  <si>
    <t>Khaled Al-Saleh</t>
  </si>
  <si>
    <t>Android Developer</t>
  </si>
  <si>
    <t>CAND-1108</t>
  </si>
  <si>
    <t>Nouf Al-Otaibi</t>
  </si>
  <si>
    <t>CAND-1109</t>
  </si>
  <si>
    <t>Turki Al-Harbi</t>
  </si>
  <si>
    <t>ERP Consultant</t>
  </si>
  <si>
    <t>CAND-1110</t>
  </si>
  <si>
    <t>Shahad Al-Zahrani</t>
  </si>
  <si>
    <t>Compensation Specialist</t>
  </si>
  <si>
    <t>CAND-1111</t>
  </si>
  <si>
    <t>Hisham Al-Shammari</t>
  </si>
  <si>
    <t>Tableau Developer</t>
  </si>
  <si>
    <t>CAND-1112</t>
  </si>
  <si>
    <t>Dana Al-Qahtani</t>
  </si>
  <si>
    <t>Marketing Specialist</t>
  </si>
  <si>
    <t>CAND-1113</t>
  </si>
  <si>
    <t>Mohammed Al-Dosari</t>
  </si>
  <si>
    <t>Investment Analyst</t>
  </si>
  <si>
    <t>CAND-1114</t>
  </si>
  <si>
    <t>Aljawhara Al-Ghamdi</t>
  </si>
  <si>
    <t>People Operations</t>
  </si>
  <si>
    <t>CAND-1115</t>
  </si>
  <si>
    <t>Rayan Al-Mutairi</t>
  </si>
  <si>
    <t>Tech Lead</t>
  </si>
  <si>
    <t>CAND-1116</t>
  </si>
  <si>
    <t>Mawaddah Al-Anazi</t>
  </si>
  <si>
    <t>CRM Specialist</t>
  </si>
  <si>
    <t>CAND-1117</t>
  </si>
  <si>
    <t>Sultan Al-Qurashi</t>
  </si>
  <si>
    <t>Operations Analyst</t>
  </si>
  <si>
    <t>CAND-1118</t>
  </si>
  <si>
    <t>Renad Al-Subaie</t>
  </si>
  <si>
    <t>Junior HR Coordinator</t>
  </si>
  <si>
    <t>CAND-1119</t>
  </si>
  <si>
    <t>Ahmad Al-Bishi</t>
  </si>
  <si>
    <t>Solutions Engineer</t>
  </si>
  <si>
    <t>CAND-1120</t>
  </si>
  <si>
    <t>Layan Al-Faraj</t>
  </si>
  <si>
    <t>Growth Marketing Manager</t>
  </si>
  <si>
    <t>Department</t>
  </si>
  <si>
    <t>Position Applied</t>
  </si>
  <si>
    <t>Full Name</t>
  </si>
  <si>
    <t>Candidate ID</t>
  </si>
  <si>
    <t>Application Date</t>
  </si>
  <si>
    <t>Source</t>
  </si>
  <si>
    <t>Stage</t>
  </si>
  <si>
    <t>Interview Score</t>
  </si>
  <si>
    <t>Status</t>
  </si>
  <si>
    <t>Expected Salary</t>
  </si>
  <si>
    <t>Row Labels</t>
  </si>
  <si>
    <t>Grand Total</t>
  </si>
  <si>
    <t>Mar</t>
  </si>
  <si>
    <t>Jan</t>
  </si>
  <si>
    <t>May</t>
  </si>
  <si>
    <t>Jun</t>
  </si>
  <si>
    <t>Feb</t>
  </si>
  <si>
    <t>Apr</t>
  </si>
  <si>
    <t>Jul</t>
  </si>
  <si>
    <t>Column Labels</t>
  </si>
  <si>
    <t>Count of Candidate ID</t>
  </si>
  <si>
    <t>Count of Stage</t>
  </si>
  <si>
    <t>Hire Rate</t>
  </si>
  <si>
    <t>Hiring Rate = Hired ÷ Total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</si>
</sst>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33" borderId="0" xfId="0" applyFill="1"/>
    <xf numFmtId="3" fontId="0" fillId="0" borderId="0" xfId="0" applyNumberFormat="1"/>
    <xf numFmtId="0" fontId="0" fillId="34" borderId="0" xfId="0" applyFill="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color theme="1"/>
      </font>
      <border>
        <bottom style="thin">
          <color theme="4"/>
        </bottom>
        <vertical/>
        <horizontal/>
      </border>
    </dxf>
    <dxf>
      <font>
        <color theme="1"/>
      </font>
      <border diagonalUp="0" diagonalDown="0">
        <left/>
        <right/>
        <top/>
        <bottom/>
        <vertical/>
        <horizontal/>
      </border>
    </dxf>
    <dxf>
      <numFmt numFmtId="3" formatCode="#,##0"/>
    </dxf>
    <dxf>
      <numFmt numFmtId="19" formatCode="dd/mm/yyyy"/>
    </dxf>
    <dxf>
      <fill>
        <patternFill patternType="solid">
          <fgColor indexed="64"/>
          <bgColor theme="3" tint="0.749992370372631"/>
        </patternFill>
      </fill>
    </dxf>
  </dxfs>
  <tableStyles count="1" defaultTableStyle="TableStyleMedium2" defaultPivotStyle="PivotStyleLight16">
    <tableStyle name="Custom 1" pivot="0" table="0" count="10" xr9:uid="{5D8E08B3-50FC-4E5E-AC94-C8D59FF59ECF}">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Analysis!$A$9:$A$16</c:f>
              <c:strCache>
                <c:ptCount val="7"/>
                <c:pt idx="0">
                  <c:v>Final Interview</c:v>
                </c:pt>
                <c:pt idx="1">
                  <c:v>HR Interview</c:v>
                </c:pt>
                <c:pt idx="2">
                  <c:v>Interview</c:v>
                </c:pt>
                <c:pt idx="3">
                  <c:v>Offer</c:v>
                </c:pt>
                <c:pt idx="4">
                  <c:v>Rejected</c:v>
                </c:pt>
                <c:pt idx="5">
                  <c:v>Screening</c:v>
                </c:pt>
                <c:pt idx="6">
                  <c:v>Technical Test</c:v>
                </c:pt>
              </c:strCache>
            </c:strRef>
          </c:cat>
          <c:val>
            <c:numRef>
              <c:f>Analysis!$B$9:$B$16</c:f>
              <c:numCache>
                <c:formatCode>General</c:formatCode>
                <c:ptCount val="7"/>
                <c:pt idx="0">
                  <c:v>15</c:v>
                </c:pt>
                <c:pt idx="1">
                  <c:v>10</c:v>
                </c:pt>
                <c:pt idx="2">
                  <c:v>24</c:v>
                </c:pt>
                <c:pt idx="3">
                  <c:v>25</c:v>
                </c:pt>
                <c:pt idx="4">
                  <c:v>14</c:v>
                </c:pt>
                <c:pt idx="5">
                  <c:v>16</c:v>
                </c:pt>
                <c:pt idx="6">
                  <c:v>16</c:v>
                </c:pt>
              </c:numCache>
            </c:numRef>
          </c:val>
          <c:extLst>
            <c:ext xmlns:c16="http://schemas.microsoft.com/office/drawing/2014/chart" uri="{C3380CC4-5D6E-409C-BE32-E72D297353CC}">
              <c16:uniqueId val="{00000000-38F1-40D6-BFDA-14537A95EDE6}"/>
            </c:ext>
          </c:extLst>
        </c:ser>
        <c:dLbls>
          <c:showLegendKey val="0"/>
          <c:showVal val="0"/>
          <c:showCatName val="0"/>
          <c:showSerName val="0"/>
          <c:showPercent val="0"/>
          <c:showBubbleSize val="0"/>
        </c:dLbls>
        <c:gapWidth val="219"/>
        <c:overlap val="-27"/>
        <c:axId val="1371613664"/>
        <c:axId val="1242343648"/>
      </c:barChart>
      <c:catAx>
        <c:axId val="13716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43648"/>
        <c:crosses val="autoZero"/>
        <c:auto val="1"/>
        <c:lblAlgn val="ctr"/>
        <c:lblOffset val="100"/>
        <c:noMultiLvlLbl val="0"/>
      </c:catAx>
      <c:valAx>
        <c:axId val="124234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Analysis!$B$29</c:f>
              <c:strCache>
                <c:ptCount val="1"/>
                <c:pt idx="0">
                  <c:v>Total</c:v>
                </c:pt>
              </c:strCache>
            </c:strRef>
          </c:tx>
          <c:spPr>
            <a:solidFill>
              <a:schemeClr val="accent1"/>
            </a:solidFill>
            <a:ln>
              <a:noFill/>
            </a:ln>
            <a:effectLst/>
          </c:spPr>
          <c:invertIfNegative val="0"/>
          <c:cat>
            <c:strRef>
              <c:f>Analysis!$A$30:$A$38</c:f>
              <c:strCache>
                <c:ptCount val="8"/>
                <c:pt idx="0">
                  <c:v>IT</c:v>
                </c:pt>
                <c:pt idx="1">
                  <c:v>Human Resources</c:v>
                </c:pt>
                <c:pt idx="2">
                  <c:v>Marketing</c:v>
                </c:pt>
                <c:pt idx="3">
                  <c:v>Finance</c:v>
                </c:pt>
                <c:pt idx="4">
                  <c:v>Operations</c:v>
                </c:pt>
                <c:pt idx="5">
                  <c:v>Analytics</c:v>
                </c:pt>
                <c:pt idx="6">
                  <c:v>Sales</c:v>
                </c:pt>
                <c:pt idx="7">
                  <c:v>Product</c:v>
                </c:pt>
              </c:strCache>
            </c:strRef>
          </c:cat>
          <c:val>
            <c:numRef>
              <c:f>Analysis!$B$30:$B$38</c:f>
              <c:numCache>
                <c:formatCode>General</c:formatCode>
                <c:ptCount val="8"/>
                <c:pt idx="0">
                  <c:v>25</c:v>
                </c:pt>
                <c:pt idx="1">
                  <c:v>23</c:v>
                </c:pt>
                <c:pt idx="2">
                  <c:v>22</c:v>
                </c:pt>
                <c:pt idx="3">
                  <c:v>13</c:v>
                </c:pt>
                <c:pt idx="4">
                  <c:v>13</c:v>
                </c:pt>
                <c:pt idx="5">
                  <c:v>10</c:v>
                </c:pt>
                <c:pt idx="6">
                  <c:v>8</c:v>
                </c:pt>
                <c:pt idx="7">
                  <c:v>6</c:v>
                </c:pt>
              </c:numCache>
            </c:numRef>
          </c:val>
          <c:extLst>
            <c:ext xmlns:c16="http://schemas.microsoft.com/office/drawing/2014/chart" uri="{C3380CC4-5D6E-409C-BE32-E72D297353CC}">
              <c16:uniqueId val="{00000000-A0C6-4BA5-8A0D-4704B4544E0F}"/>
            </c:ext>
          </c:extLst>
        </c:ser>
        <c:dLbls>
          <c:showLegendKey val="0"/>
          <c:showVal val="0"/>
          <c:showCatName val="0"/>
          <c:showSerName val="0"/>
          <c:showPercent val="0"/>
          <c:showBubbleSize val="0"/>
        </c:dLbls>
        <c:gapWidth val="80"/>
        <c:axId val="1371760288"/>
        <c:axId val="1975003264"/>
      </c:barChart>
      <c:catAx>
        <c:axId val="1371760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003264"/>
        <c:crosses val="autoZero"/>
        <c:auto val="1"/>
        <c:lblAlgn val="ctr"/>
        <c:lblOffset val="100"/>
        <c:noMultiLvlLbl val="0"/>
      </c:catAx>
      <c:valAx>
        <c:axId val="197500326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69203849518811"/>
          <c:y val="7.407407407407407E-2"/>
          <c:w val="0.79299759405074366"/>
          <c:h val="0.79118839311752698"/>
        </c:manualLayout>
      </c:layout>
      <c:barChart>
        <c:barDir val="col"/>
        <c:grouping val="clustered"/>
        <c:varyColors val="0"/>
        <c:dLbls>
          <c:showLegendKey val="0"/>
          <c:showVal val="0"/>
          <c:showCatName val="0"/>
          <c:showSerName val="0"/>
          <c:showPercent val="0"/>
          <c:showBubbleSize val="0"/>
        </c:dLbls>
        <c:gapWidth val="219"/>
        <c:overlap val="-27"/>
        <c:axId val="1371692544"/>
        <c:axId val="1242323488"/>
      </c:barChart>
      <c:catAx>
        <c:axId val="137169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23488"/>
        <c:crosses val="autoZero"/>
        <c:auto val="1"/>
        <c:lblAlgn val="ctr"/>
        <c:lblOffset val="100"/>
        <c:noMultiLvlLbl val="0"/>
      </c:catAx>
      <c:valAx>
        <c:axId val="1242323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92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[Adrienne-Recruitment-tracker-2026.xlsx]Analysis!PivotTable7</c:name>
    <c:fmtId val="8"/>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Analysis!$A$57:$A$64</c:f>
              <c:strCache>
                <c:ptCount val="7"/>
                <c:pt idx="0">
                  <c:v>Jan</c:v>
                </c:pt>
                <c:pt idx="1">
                  <c:v>Feb</c:v>
                </c:pt>
                <c:pt idx="2">
                  <c:v>Mar</c:v>
                </c:pt>
                <c:pt idx="3">
                  <c:v>Apr</c:v>
                </c:pt>
                <c:pt idx="4">
                  <c:v>May</c:v>
                </c:pt>
                <c:pt idx="5">
                  <c:v>Jun</c:v>
                </c:pt>
                <c:pt idx="6">
                  <c:v>Jul</c:v>
                </c:pt>
              </c:strCache>
            </c:strRef>
          </c:cat>
          <c:val>
            <c:numRef>
              <c:f>Analysis!$B$57:$B$64</c:f>
              <c:numCache>
                <c:formatCode>General</c:formatCode>
                <c:ptCount val="7"/>
                <c:pt idx="0">
                  <c:v>17</c:v>
                </c:pt>
                <c:pt idx="1">
                  <c:v>19</c:v>
                </c:pt>
                <c:pt idx="2">
                  <c:v>20</c:v>
                </c:pt>
                <c:pt idx="3">
                  <c:v>20</c:v>
                </c:pt>
                <c:pt idx="4">
                  <c:v>21</c:v>
                </c:pt>
                <c:pt idx="5">
                  <c:v>20</c:v>
                </c:pt>
                <c:pt idx="6">
                  <c:v>3</c:v>
                </c:pt>
              </c:numCache>
            </c:numRef>
          </c:val>
          <c:smooth val="0"/>
          <c:extLst>
            <c:ext xmlns:c16="http://schemas.microsoft.com/office/drawing/2014/chart" uri="{C3380CC4-5D6E-409C-BE32-E72D297353CC}">
              <c16:uniqueId val="{00000000-DB86-41FB-B416-8D245075D2DC}"/>
            </c:ext>
          </c:extLst>
        </c:ser>
        <c:dLbls>
          <c:showLegendKey val="0"/>
          <c:showVal val="0"/>
          <c:showCatName val="0"/>
          <c:showSerName val="0"/>
          <c:showPercent val="0"/>
          <c:showBubbleSize val="0"/>
        </c:dLbls>
        <c:marker val="1"/>
        <c:smooth val="0"/>
        <c:axId val="1327673232"/>
        <c:axId val="1525455328"/>
      </c:lineChart>
      <c:catAx>
        <c:axId val="13276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55328"/>
        <c:crosses val="autoZero"/>
        <c:auto val="1"/>
        <c:lblAlgn val="ctr"/>
        <c:lblOffset val="100"/>
        <c:noMultiLvlLbl val="0"/>
      </c:catAx>
      <c:valAx>
        <c:axId val="1525455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767323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[Adrienne-Recruitment-tracker-2026.xlsx]Analysis!PivotTable9</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Hired</c:v>
                </c:pt>
              </c:strCache>
            </c:strRef>
          </c:tx>
          <c:spPr>
            <a:solidFill>
              <a:schemeClr val="accent1"/>
            </a:soli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Analysis!$B$73:$B$81</c:f>
              <c:numCache>
                <c:formatCode>General</c:formatCode>
                <c:ptCount val="8"/>
                <c:pt idx="0">
                  <c:v>19</c:v>
                </c:pt>
                <c:pt idx="1">
                  <c:v>2</c:v>
                </c:pt>
                <c:pt idx="2">
                  <c:v>3</c:v>
                </c:pt>
                <c:pt idx="3">
                  <c:v>1</c:v>
                </c:pt>
              </c:numCache>
            </c:numRef>
          </c:val>
          <c:extLst>
            <c:ext xmlns:c16="http://schemas.microsoft.com/office/drawing/2014/chart" uri="{C3380CC4-5D6E-409C-BE32-E72D297353CC}">
              <c16:uniqueId val="{00000000-1D2A-4AEE-AFB2-95EC51642C52}"/>
            </c:ext>
          </c:extLst>
        </c:ser>
        <c:ser>
          <c:idx val="1"/>
          <c:order val="1"/>
          <c:tx>
            <c:strRef>
              <c:f>Analysis!$C$71:$C$72</c:f>
              <c:strCache>
                <c:ptCount val="1"/>
                <c:pt idx="0">
                  <c:v>In Progress</c:v>
                </c:pt>
              </c:strCache>
            </c:strRef>
          </c:tx>
          <c:spPr>
            <a:solidFill>
              <a:schemeClr val="accent2"/>
            </a:soli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Analysis!$C$73:$C$81</c:f>
              <c:numCache>
                <c:formatCode>General</c:formatCode>
                <c:ptCount val="8"/>
                <c:pt idx="0">
                  <c:v>33</c:v>
                </c:pt>
                <c:pt idx="1">
                  <c:v>14</c:v>
                </c:pt>
                <c:pt idx="2">
                  <c:v>10</c:v>
                </c:pt>
                <c:pt idx="3">
                  <c:v>9</c:v>
                </c:pt>
                <c:pt idx="4">
                  <c:v>7</c:v>
                </c:pt>
                <c:pt idx="5">
                  <c:v>2</c:v>
                </c:pt>
                <c:pt idx="6">
                  <c:v>2</c:v>
                </c:pt>
                <c:pt idx="7">
                  <c:v>1</c:v>
                </c:pt>
              </c:numCache>
            </c:numRef>
          </c:val>
          <c:extLst>
            <c:ext xmlns:c16="http://schemas.microsoft.com/office/drawing/2014/chart" uri="{C3380CC4-5D6E-409C-BE32-E72D297353CC}">
              <c16:uniqueId val="{00000001-1D2A-4AEE-AFB2-95EC51642C52}"/>
            </c:ext>
          </c:extLst>
        </c:ser>
        <c:ser>
          <c:idx val="2"/>
          <c:order val="2"/>
          <c:tx>
            <c:strRef>
              <c:f>Analysis!$D$71:$D$72</c:f>
              <c:strCache>
                <c:ptCount val="1"/>
                <c:pt idx="0">
                  <c:v>Rejected</c:v>
                </c:pt>
              </c:strCache>
            </c:strRef>
          </c:tx>
          <c:spPr>
            <a:solidFill>
              <a:schemeClr val="accent3"/>
            </a:soli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Analysis!$D$73:$D$81</c:f>
              <c:numCache>
                <c:formatCode>General</c:formatCode>
                <c:ptCount val="8"/>
                <c:pt idx="0">
                  <c:v>6</c:v>
                </c:pt>
                <c:pt idx="1">
                  <c:v>2</c:v>
                </c:pt>
                <c:pt idx="2">
                  <c:v>1</c:v>
                </c:pt>
                <c:pt idx="3">
                  <c:v>2</c:v>
                </c:pt>
                <c:pt idx="4">
                  <c:v>2</c:v>
                </c:pt>
                <c:pt idx="5">
                  <c:v>1</c:v>
                </c:pt>
              </c:numCache>
            </c:numRef>
          </c:val>
          <c:extLst>
            <c:ext xmlns:c16="http://schemas.microsoft.com/office/drawing/2014/chart" uri="{C3380CC4-5D6E-409C-BE32-E72D297353CC}">
              <c16:uniqueId val="{00000002-1D2A-4AEE-AFB2-95EC51642C52}"/>
            </c:ext>
          </c:extLst>
        </c:ser>
        <c:ser>
          <c:idx val="3"/>
          <c:order val="3"/>
          <c:tx>
            <c:strRef>
              <c:f>Analysis!$E$71:$E$72</c:f>
              <c:strCache>
                <c:ptCount val="1"/>
                <c:pt idx="0">
                  <c:v>Withdrawn</c:v>
                </c:pt>
              </c:strCache>
            </c:strRef>
          </c:tx>
          <c:spPr>
            <a:solidFill>
              <a:schemeClr val="accent4"/>
            </a:soli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Analysis!$E$73:$E$81</c:f>
              <c:numCache>
                <c:formatCode>General</c:formatCode>
                <c:ptCount val="8"/>
                <c:pt idx="1">
                  <c:v>1</c:v>
                </c:pt>
                <c:pt idx="3">
                  <c:v>1</c:v>
                </c:pt>
                <c:pt idx="4">
                  <c:v>1</c:v>
                </c:pt>
              </c:numCache>
            </c:numRef>
          </c:val>
          <c:extLst>
            <c:ext xmlns:c16="http://schemas.microsoft.com/office/drawing/2014/chart" uri="{C3380CC4-5D6E-409C-BE32-E72D297353CC}">
              <c16:uniqueId val="{00000003-1D2A-4AEE-AFB2-95EC51642C52}"/>
            </c:ext>
          </c:extLst>
        </c:ser>
        <c:dLbls>
          <c:showLegendKey val="0"/>
          <c:showVal val="0"/>
          <c:showCatName val="0"/>
          <c:showSerName val="0"/>
          <c:showPercent val="0"/>
          <c:showBubbleSize val="0"/>
        </c:dLbls>
        <c:gapWidth val="219"/>
        <c:overlap val="-27"/>
        <c:axId val="1532340800"/>
        <c:axId val="1576822112"/>
      </c:barChart>
      <c:catAx>
        <c:axId val="153234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22112"/>
        <c:crosses val="autoZero"/>
        <c:auto val="1"/>
        <c:lblAlgn val="ctr"/>
        <c:lblOffset val="100"/>
        <c:noMultiLvlLbl val="0"/>
      </c:catAx>
      <c:valAx>
        <c:axId val="157682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34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Analysis!$B$29</c:f>
              <c:strCache>
                <c:ptCount val="1"/>
                <c:pt idx="0">
                  <c:v>Total</c:v>
                </c:pt>
              </c:strCache>
            </c:strRef>
          </c:tx>
          <c:spPr>
            <a:solidFill>
              <a:schemeClr val="accent1"/>
            </a:solidFill>
            <a:ln>
              <a:noFill/>
            </a:ln>
            <a:effectLst/>
          </c:spPr>
          <c:invertIfNegative val="0"/>
          <c:cat>
            <c:strRef>
              <c:f>Analysis!$A$30:$A$38</c:f>
              <c:strCache>
                <c:ptCount val="8"/>
                <c:pt idx="0">
                  <c:v>IT</c:v>
                </c:pt>
                <c:pt idx="1">
                  <c:v>Human Resources</c:v>
                </c:pt>
                <c:pt idx="2">
                  <c:v>Marketing</c:v>
                </c:pt>
                <c:pt idx="3">
                  <c:v>Finance</c:v>
                </c:pt>
                <c:pt idx="4">
                  <c:v>Operations</c:v>
                </c:pt>
                <c:pt idx="5">
                  <c:v>Analytics</c:v>
                </c:pt>
                <c:pt idx="6">
                  <c:v>Sales</c:v>
                </c:pt>
                <c:pt idx="7">
                  <c:v>Product</c:v>
                </c:pt>
              </c:strCache>
            </c:strRef>
          </c:cat>
          <c:val>
            <c:numRef>
              <c:f>Analysis!$B$30:$B$38</c:f>
              <c:numCache>
                <c:formatCode>General</c:formatCode>
                <c:ptCount val="8"/>
                <c:pt idx="0">
                  <c:v>25</c:v>
                </c:pt>
                <c:pt idx="1">
                  <c:v>23</c:v>
                </c:pt>
                <c:pt idx="2">
                  <c:v>22</c:v>
                </c:pt>
                <c:pt idx="3">
                  <c:v>13</c:v>
                </c:pt>
                <c:pt idx="4">
                  <c:v>13</c:v>
                </c:pt>
                <c:pt idx="5">
                  <c:v>10</c:v>
                </c:pt>
                <c:pt idx="6">
                  <c:v>8</c:v>
                </c:pt>
                <c:pt idx="7">
                  <c:v>6</c:v>
                </c:pt>
              </c:numCache>
            </c:numRef>
          </c:val>
          <c:extLst>
            <c:ext xmlns:c16="http://schemas.microsoft.com/office/drawing/2014/chart" uri="{C3380CC4-5D6E-409C-BE32-E72D297353CC}">
              <c16:uniqueId val="{00000000-ADE2-48D4-BB40-DB7A3C8B2F59}"/>
            </c:ext>
          </c:extLst>
        </c:ser>
        <c:dLbls>
          <c:showLegendKey val="0"/>
          <c:showVal val="0"/>
          <c:showCatName val="0"/>
          <c:showSerName val="0"/>
          <c:showPercent val="0"/>
          <c:showBubbleSize val="0"/>
        </c:dLbls>
        <c:gapWidth val="80"/>
        <c:axId val="1371760288"/>
        <c:axId val="1975003264"/>
      </c:barChart>
      <c:catAx>
        <c:axId val="13717602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003264"/>
        <c:crosses val="autoZero"/>
        <c:auto val="1"/>
        <c:lblAlgn val="ctr"/>
        <c:lblOffset val="100"/>
        <c:noMultiLvlLbl val="0"/>
      </c:catAx>
      <c:valAx>
        <c:axId val="1975003264"/>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76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[Adrienne-Recruitment-tracker-2026.xlsx]Analysis!PivotTable7</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Analysis!$A$57:$A$64</c:f>
              <c:strCache>
                <c:ptCount val="7"/>
                <c:pt idx="0">
                  <c:v>Jan</c:v>
                </c:pt>
                <c:pt idx="1">
                  <c:v>Feb</c:v>
                </c:pt>
                <c:pt idx="2">
                  <c:v>Mar</c:v>
                </c:pt>
                <c:pt idx="3">
                  <c:v>Apr</c:v>
                </c:pt>
                <c:pt idx="4">
                  <c:v>May</c:v>
                </c:pt>
                <c:pt idx="5">
                  <c:v>Jun</c:v>
                </c:pt>
                <c:pt idx="6">
                  <c:v>Jul</c:v>
                </c:pt>
              </c:strCache>
            </c:strRef>
          </c:cat>
          <c:val>
            <c:numRef>
              <c:f>Analysis!$B$57:$B$64</c:f>
              <c:numCache>
                <c:formatCode>General</c:formatCode>
                <c:ptCount val="7"/>
                <c:pt idx="0">
                  <c:v>17</c:v>
                </c:pt>
                <c:pt idx="1">
                  <c:v>19</c:v>
                </c:pt>
                <c:pt idx="2">
                  <c:v>20</c:v>
                </c:pt>
                <c:pt idx="3">
                  <c:v>20</c:v>
                </c:pt>
                <c:pt idx="4">
                  <c:v>21</c:v>
                </c:pt>
                <c:pt idx="5">
                  <c:v>20</c:v>
                </c:pt>
                <c:pt idx="6">
                  <c:v>3</c:v>
                </c:pt>
              </c:numCache>
            </c:numRef>
          </c:val>
          <c:smooth val="0"/>
          <c:extLst>
            <c:ext xmlns:c16="http://schemas.microsoft.com/office/drawing/2014/chart" uri="{C3380CC4-5D6E-409C-BE32-E72D297353CC}">
              <c16:uniqueId val="{00000000-D593-4C95-B858-112DDA995443}"/>
            </c:ext>
          </c:extLst>
        </c:ser>
        <c:dLbls>
          <c:showLegendKey val="0"/>
          <c:showVal val="0"/>
          <c:showCatName val="0"/>
          <c:showSerName val="0"/>
          <c:showPercent val="0"/>
          <c:showBubbleSize val="0"/>
        </c:dLbls>
        <c:marker val="1"/>
        <c:smooth val="0"/>
        <c:axId val="1327673232"/>
        <c:axId val="1525455328"/>
      </c:lineChart>
      <c:catAx>
        <c:axId val="132767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55328"/>
        <c:crosses val="autoZero"/>
        <c:auto val="1"/>
        <c:lblAlgn val="ctr"/>
        <c:lblOffset val="100"/>
        <c:noMultiLvlLbl val="0"/>
      </c:catAx>
      <c:valAx>
        <c:axId val="1525455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2767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c:v>
                </c:pt>
              </c:strCache>
            </c:strRef>
          </c:tx>
          <c:spPr>
            <a:solidFill>
              <a:schemeClr val="accent1"/>
            </a:solidFill>
            <a:ln>
              <a:noFill/>
            </a:ln>
            <a:effectLst/>
          </c:spPr>
          <c:invertIfNegative val="0"/>
          <c:cat>
            <c:strRef>
              <c:f>Analysis!$A$9:$A$16</c:f>
              <c:strCache>
                <c:ptCount val="7"/>
                <c:pt idx="0">
                  <c:v>Final Interview</c:v>
                </c:pt>
                <c:pt idx="1">
                  <c:v>HR Interview</c:v>
                </c:pt>
                <c:pt idx="2">
                  <c:v>Interview</c:v>
                </c:pt>
                <c:pt idx="3">
                  <c:v>Offer</c:v>
                </c:pt>
                <c:pt idx="4">
                  <c:v>Rejected</c:v>
                </c:pt>
                <c:pt idx="5">
                  <c:v>Screening</c:v>
                </c:pt>
                <c:pt idx="6">
                  <c:v>Technical Test</c:v>
                </c:pt>
              </c:strCache>
            </c:strRef>
          </c:cat>
          <c:val>
            <c:numRef>
              <c:f>Analysis!$B$9:$B$16</c:f>
              <c:numCache>
                <c:formatCode>General</c:formatCode>
                <c:ptCount val="7"/>
                <c:pt idx="0">
                  <c:v>15</c:v>
                </c:pt>
                <c:pt idx="1">
                  <c:v>10</c:v>
                </c:pt>
                <c:pt idx="2">
                  <c:v>24</c:v>
                </c:pt>
                <c:pt idx="3">
                  <c:v>25</c:v>
                </c:pt>
                <c:pt idx="4">
                  <c:v>14</c:v>
                </c:pt>
                <c:pt idx="5">
                  <c:v>16</c:v>
                </c:pt>
                <c:pt idx="6">
                  <c:v>16</c:v>
                </c:pt>
              </c:numCache>
            </c:numRef>
          </c:val>
          <c:extLst>
            <c:ext xmlns:c16="http://schemas.microsoft.com/office/drawing/2014/chart" uri="{C3380CC4-5D6E-409C-BE32-E72D297353CC}">
              <c16:uniqueId val="{00000000-267D-4501-9C65-D1310A3BBD69}"/>
            </c:ext>
          </c:extLst>
        </c:ser>
        <c:dLbls>
          <c:showLegendKey val="0"/>
          <c:showVal val="0"/>
          <c:showCatName val="0"/>
          <c:showSerName val="0"/>
          <c:showPercent val="0"/>
          <c:showBubbleSize val="0"/>
        </c:dLbls>
        <c:gapWidth val="219"/>
        <c:overlap val="-27"/>
        <c:axId val="1371613664"/>
        <c:axId val="1242343648"/>
      </c:barChart>
      <c:catAx>
        <c:axId val="13716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343648"/>
        <c:crosses val="autoZero"/>
        <c:auto val="1"/>
        <c:lblAlgn val="ctr"/>
        <c:lblOffset val="100"/>
        <c:noMultiLvlLbl val="0"/>
      </c:catAx>
      <c:valAx>
        <c:axId val="124234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6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[Adrienne-Recruitment-tracker-2026.xlsx]Analysis!PivotTable9</c:name>
    <c:fmtId val="5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Analysis!$B$71:$B$72</c:f>
              <c:strCache>
                <c:ptCount val="1"/>
                <c:pt idx="0">
                  <c:v>Hired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Analysis!$B$73:$B$81</c:f>
              <c:numCache>
                <c:formatCode>General</c:formatCode>
                <c:ptCount val="8"/>
                <c:pt idx="0">
                  <c:v>19</c:v>
                </c:pt>
                <c:pt idx="1">
                  <c:v>2</c:v>
                </c:pt>
                <c:pt idx="2">
                  <c:v>3</c:v>
                </c:pt>
                <c:pt idx="3">
                  <c:v>1</c:v>
                </c:pt>
              </c:numCache>
            </c:numRef>
          </c:val>
          <c:extLst>
            <c:ext xmlns:c16="http://schemas.microsoft.com/office/drawing/2014/chart" uri="{C3380CC4-5D6E-409C-BE32-E72D297353CC}">
              <c16:uniqueId val="{00000000-67EC-4A3D-B33D-99D201E8AA62}"/>
            </c:ext>
          </c:extLst>
        </c:ser>
        <c:ser>
          <c:idx val="1"/>
          <c:order val="1"/>
          <c:tx>
            <c:strRef>
              <c:f>Analysis!$C$71:$C$72</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Analysis!$C$73:$C$81</c:f>
              <c:numCache>
                <c:formatCode>General</c:formatCode>
                <c:ptCount val="8"/>
                <c:pt idx="0">
                  <c:v>33</c:v>
                </c:pt>
                <c:pt idx="1">
                  <c:v>14</c:v>
                </c:pt>
                <c:pt idx="2">
                  <c:v>10</c:v>
                </c:pt>
                <c:pt idx="3">
                  <c:v>9</c:v>
                </c:pt>
                <c:pt idx="4">
                  <c:v>7</c:v>
                </c:pt>
                <c:pt idx="5">
                  <c:v>2</c:v>
                </c:pt>
                <c:pt idx="6">
                  <c:v>2</c:v>
                </c:pt>
                <c:pt idx="7">
                  <c:v>1</c:v>
                </c:pt>
              </c:numCache>
            </c:numRef>
          </c:val>
          <c:extLst>
            <c:ext xmlns:c16="http://schemas.microsoft.com/office/drawing/2014/chart" uri="{C3380CC4-5D6E-409C-BE32-E72D297353CC}">
              <c16:uniqueId val="{00000001-67EC-4A3D-B33D-99D201E8AA62}"/>
            </c:ext>
          </c:extLst>
        </c:ser>
        <c:ser>
          <c:idx val="2"/>
          <c:order val="2"/>
          <c:tx>
            <c:strRef>
              <c:f>Analysis!$D$71:$D$72</c:f>
              <c:strCache>
                <c:ptCount val="1"/>
                <c:pt idx="0">
                  <c:v>Rejected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Analysis!$D$73:$D$81</c:f>
              <c:numCache>
                <c:formatCode>General</c:formatCode>
                <c:ptCount val="8"/>
                <c:pt idx="0">
                  <c:v>6</c:v>
                </c:pt>
                <c:pt idx="1">
                  <c:v>2</c:v>
                </c:pt>
                <c:pt idx="2">
                  <c:v>1</c:v>
                </c:pt>
                <c:pt idx="3">
                  <c:v>2</c:v>
                </c:pt>
                <c:pt idx="4">
                  <c:v>2</c:v>
                </c:pt>
                <c:pt idx="5">
                  <c:v>1</c:v>
                </c:pt>
              </c:numCache>
            </c:numRef>
          </c:val>
          <c:extLst>
            <c:ext xmlns:c16="http://schemas.microsoft.com/office/drawing/2014/chart" uri="{C3380CC4-5D6E-409C-BE32-E72D297353CC}">
              <c16:uniqueId val="{00000002-67EC-4A3D-B33D-99D201E8AA62}"/>
            </c:ext>
          </c:extLst>
        </c:ser>
        <c:ser>
          <c:idx val="3"/>
          <c:order val="3"/>
          <c:tx>
            <c:strRef>
              <c:f>Analysis!$E$71:$E$72</c:f>
              <c:strCache>
                <c:ptCount val="1"/>
                <c:pt idx="0">
                  <c:v>Withdrawn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Analysis!$A$73:$A$81</c:f>
              <c:strCache>
                <c:ptCount val="8"/>
                <c:pt idx="0">
                  <c:v>LinkedIn</c:v>
                </c:pt>
                <c:pt idx="1">
                  <c:v>Bayt.com</c:v>
                </c:pt>
                <c:pt idx="2">
                  <c:v>Referral</c:v>
                </c:pt>
                <c:pt idx="3">
                  <c:v>Company Website</c:v>
                </c:pt>
                <c:pt idx="4">
                  <c:v>Indeed</c:v>
                </c:pt>
                <c:pt idx="5">
                  <c:v>Behance</c:v>
                </c:pt>
                <c:pt idx="6">
                  <c:v>Dribbble</c:v>
                </c:pt>
                <c:pt idx="7">
                  <c:v>GitHub Jobs</c:v>
                </c:pt>
              </c:strCache>
            </c:strRef>
          </c:cat>
          <c:val>
            <c:numRef>
              <c:f>Analysis!$E$73:$E$81</c:f>
              <c:numCache>
                <c:formatCode>General</c:formatCode>
                <c:ptCount val="8"/>
                <c:pt idx="1">
                  <c:v>1</c:v>
                </c:pt>
                <c:pt idx="3">
                  <c:v>1</c:v>
                </c:pt>
                <c:pt idx="4">
                  <c:v>1</c:v>
                </c:pt>
              </c:numCache>
            </c:numRef>
          </c:val>
          <c:extLst>
            <c:ext xmlns:c16="http://schemas.microsoft.com/office/drawing/2014/chart" uri="{C3380CC4-5D6E-409C-BE32-E72D297353CC}">
              <c16:uniqueId val="{00000003-67EC-4A3D-B33D-99D201E8AA62}"/>
            </c:ext>
          </c:extLst>
        </c:ser>
        <c:dLbls>
          <c:showLegendKey val="0"/>
          <c:showVal val="0"/>
          <c:showCatName val="0"/>
          <c:showSerName val="0"/>
          <c:showPercent val="0"/>
          <c:showBubbleSize val="0"/>
        </c:dLbls>
        <c:gapWidth val="100"/>
        <c:overlap val="-24"/>
        <c:axId val="1532340800"/>
        <c:axId val="1576822112"/>
      </c:barChart>
      <c:catAx>
        <c:axId val="1532340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76822112"/>
        <c:crosses val="autoZero"/>
        <c:auto val="1"/>
        <c:lblAlgn val="ctr"/>
        <c:lblOffset val="100"/>
        <c:noMultiLvlLbl val="0"/>
      </c:catAx>
      <c:valAx>
        <c:axId val="15768221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234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9.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mailto:adrienne.el@hotmail.co.uk?subject=First%20Dashboard%20Complete%2019/09/2026" TargetMode="External"/><Relationship Id="rId5" Type="http://schemas.openxmlformats.org/officeDocument/2006/relationships/hyperlink" Target="#Analysis!A1"/><Relationship Id="rId4" Type="http://schemas.openxmlformats.org/officeDocument/2006/relationships/hyperlink" Target="#'HR Saudi Recruitment Data'!A1"/></Relationships>
</file>

<file path=xl/drawings/drawing1.xml><?xml version="1.0" encoding="utf-8"?>
<xdr:wsDr xmlns:xdr="http://schemas.openxmlformats.org/drawingml/2006/spreadsheetDrawing" xmlns:a="http://schemas.openxmlformats.org/drawingml/2006/main">
  <xdr:twoCellAnchor>
    <xdr:from>
      <xdr:col>2</xdr:col>
      <xdr:colOff>609600</xdr:colOff>
      <xdr:row>6</xdr:row>
      <xdr:rowOff>91440</xdr:rowOff>
    </xdr:from>
    <xdr:to>
      <xdr:col>6</xdr:col>
      <xdr:colOff>518160</xdr:colOff>
      <xdr:row>17</xdr:row>
      <xdr:rowOff>3810</xdr:rowOff>
    </xdr:to>
    <xdr:graphicFrame macro="">
      <xdr:nvGraphicFramePr>
        <xdr:cNvPr id="2" name="Chart 1">
          <a:extLst>
            <a:ext uri="{FF2B5EF4-FFF2-40B4-BE49-F238E27FC236}">
              <a16:creationId xmlns:a16="http://schemas.microsoft.com/office/drawing/2014/main" id="{67DD987C-D39B-1F95-FB81-5E46420A6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27</xdr:row>
      <xdr:rowOff>106680</xdr:rowOff>
    </xdr:from>
    <xdr:to>
      <xdr:col>6</xdr:col>
      <xdr:colOff>685800</xdr:colOff>
      <xdr:row>37</xdr:row>
      <xdr:rowOff>175260</xdr:rowOff>
    </xdr:to>
    <xdr:graphicFrame macro="">
      <xdr:nvGraphicFramePr>
        <xdr:cNvPr id="3" name="Chart 2">
          <a:extLst>
            <a:ext uri="{FF2B5EF4-FFF2-40B4-BE49-F238E27FC236}">
              <a16:creationId xmlns:a16="http://schemas.microsoft.com/office/drawing/2014/main" id="{0AECB6A8-908C-C9DD-C7AA-8A58D32EA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563880</xdr:colOff>
      <xdr:row>39</xdr:row>
      <xdr:rowOff>76200</xdr:rowOff>
    </xdr:from>
    <xdr:to>
      <xdr:col>7</xdr:col>
      <xdr:colOff>83820</xdr:colOff>
      <xdr:row>52</xdr:row>
      <xdr:rowOff>3810</xdr:rowOff>
    </xdr:to>
    <xdr:graphicFrame macro="">
      <xdr:nvGraphicFramePr>
        <xdr:cNvPr id="4" name="Chart 3">
          <a:extLst>
            <a:ext uri="{FF2B5EF4-FFF2-40B4-BE49-F238E27FC236}">
              <a16:creationId xmlns:a16="http://schemas.microsoft.com/office/drawing/2014/main" id="{588D2E89-44DC-F9AC-1D01-89A807898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861060</xdr:colOff>
      <xdr:row>54</xdr:row>
      <xdr:rowOff>22860</xdr:rowOff>
    </xdr:from>
    <xdr:to>
      <xdr:col>5</xdr:col>
      <xdr:colOff>1021080</xdr:colOff>
      <xdr:row>66</xdr:row>
      <xdr:rowOff>41910</xdr:rowOff>
    </xdr:to>
    <xdr:graphicFrame macro="">
      <xdr:nvGraphicFramePr>
        <xdr:cNvPr id="5" name="Chart 4">
          <a:extLst>
            <a:ext uri="{FF2B5EF4-FFF2-40B4-BE49-F238E27FC236}">
              <a16:creationId xmlns:a16="http://schemas.microsoft.com/office/drawing/2014/main" id="{87674985-38A9-00B3-17D8-EBE1D2277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472440</xdr:colOff>
      <xdr:row>41</xdr:row>
      <xdr:rowOff>38100</xdr:rowOff>
    </xdr:from>
    <xdr:to>
      <xdr:col>11</xdr:col>
      <xdr:colOff>60960</xdr:colOff>
      <xdr:row>55</xdr:row>
      <xdr:rowOff>59055</xdr:rowOff>
    </xdr:to>
    <mc:AlternateContent xmlns:mc="http://schemas.openxmlformats.org/markup-compatibility/2006">
      <mc:Choice xmlns:a14="http://schemas.microsoft.com/office/drawing/2010/main" Requires="a14">
        <xdr:graphicFrame macro="">
          <xdr:nvGraphicFramePr>
            <xdr:cNvPr id="6" name="Position Applied">
              <a:extLst>
                <a:ext uri="{FF2B5EF4-FFF2-40B4-BE49-F238E27FC236}">
                  <a16:creationId xmlns:a16="http://schemas.microsoft.com/office/drawing/2014/main" id="{4383BFC6-0524-ECD3-3D10-349274BC711B}"/>
                </a:ext>
              </a:extLst>
            </xdr:cNvPr>
            <xdr:cNvGraphicFramePr/>
          </xdr:nvGraphicFramePr>
          <xdr:xfrm>
            <a:off x="0" y="0"/>
            <a:ext cx="0" cy="0"/>
          </xdr:xfrm>
          <a:graphic>
            <a:graphicData uri="http://schemas.microsoft.com/office/drawing/2010/slicer">
              <sle:slicer xmlns:sle="http://schemas.microsoft.com/office/drawing/2010/slicer" name="Position Applied"/>
            </a:graphicData>
          </a:graphic>
        </xdr:graphicFrame>
      </mc:Choice>
      <mc:Fallback>
        <xdr:sp macro="" textlink="">
          <xdr:nvSpPr>
            <xdr:cNvPr id="0" name=""/>
            <xdr:cNvSpPr>
              <a:spLocks noTextEdit="1"/>
            </xdr:cNvSpPr>
          </xdr:nvSpPr>
          <xdr:spPr>
            <a:xfrm>
              <a:off x="6545580" y="75361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472440</xdr:colOff>
      <xdr:row>26</xdr:row>
      <xdr:rowOff>15240</xdr:rowOff>
    </xdr:from>
    <xdr:to>
      <xdr:col>11</xdr:col>
      <xdr:colOff>60960</xdr:colOff>
      <xdr:row>40</xdr:row>
      <xdr:rowOff>36195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DAA4237A-8A69-7DA6-503D-3FC53104F2D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545580" y="47701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590550</xdr:colOff>
      <xdr:row>68</xdr:row>
      <xdr:rowOff>26670</xdr:rowOff>
    </xdr:from>
    <xdr:to>
      <xdr:col>13</xdr:col>
      <xdr:colOff>392430</xdr:colOff>
      <xdr:row>83</xdr:row>
      <xdr:rowOff>26670</xdr:rowOff>
    </xdr:to>
    <xdr:graphicFrame macro="">
      <xdr:nvGraphicFramePr>
        <xdr:cNvPr id="11" name="Chart 10">
          <a:extLst>
            <a:ext uri="{FF2B5EF4-FFF2-40B4-BE49-F238E27FC236}">
              <a16:creationId xmlns:a16="http://schemas.microsoft.com/office/drawing/2014/main" id="{DBCFBDF2-234A-3CBD-8BF2-92DDAB4E8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68580</xdr:rowOff>
    </xdr:from>
    <xdr:to>
      <xdr:col>3</xdr:col>
      <xdr:colOff>586740</xdr:colOff>
      <xdr:row>61</xdr:row>
      <xdr:rowOff>147052</xdr:rowOff>
    </xdr:to>
    <xdr:sp macro="" textlink="">
      <xdr:nvSpPr>
        <xdr:cNvPr id="2" name="Rectangle: Rounded Corners 1">
          <a:extLst>
            <a:ext uri="{FF2B5EF4-FFF2-40B4-BE49-F238E27FC236}">
              <a16:creationId xmlns:a16="http://schemas.microsoft.com/office/drawing/2014/main" id="{0571F4D6-0F3A-3D40-3DBC-7284340EE683}"/>
            </a:ext>
          </a:extLst>
        </xdr:cNvPr>
        <xdr:cNvSpPr/>
      </xdr:nvSpPr>
      <xdr:spPr>
        <a:xfrm>
          <a:off x="68580" y="68580"/>
          <a:ext cx="2363002" cy="114951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190499</xdr:colOff>
      <xdr:row>0</xdr:row>
      <xdr:rowOff>144780</xdr:rowOff>
    </xdr:from>
    <xdr:to>
      <xdr:col>22</xdr:col>
      <xdr:colOff>93579</xdr:colOff>
      <xdr:row>8</xdr:row>
      <xdr:rowOff>99060</xdr:rowOff>
    </xdr:to>
    <xdr:sp macro="" textlink="">
      <xdr:nvSpPr>
        <xdr:cNvPr id="3" name="Rectangle: Rounded Corners 2">
          <a:extLst>
            <a:ext uri="{FF2B5EF4-FFF2-40B4-BE49-F238E27FC236}">
              <a16:creationId xmlns:a16="http://schemas.microsoft.com/office/drawing/2014/main" id="{076476C8-3F01-CB5A-C551-7CA6E8EC0684}"/>
            </a:ext>
          </a:extLst>
        </xdr:cNvPr>
        <xdr:cNvSpPr/>
      </xdr:nvSpPr>
      <xdr:spPr>
        <a:xfrm>
          <a:off x="2650288" y="144780"/>
          <a:ext cx="10972133" cy="1451543"/>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388620</xdr:colOff>
      <xdr:row>1</xdr:row>
      <xdr:rowOff>121920</xdr:rowOff>
    </xdr:from>
    <xdr:to>
      <xdr:col>15</xdr:col>
      <xdr:colOff>579120</xdr:colOff>
      <xdr:row>6</xdr:row>
      <xdr:rowOff>129540</xdr:rowOff>
    </xdr:to>
    <xdr:sp macro="" textlink="">
      <xdr:nvSpPr>
        <xdr:cNvPr id="4" name="TextBox 3">
          <a:extLst>
            <a:ext uri="{FF2B5EF4-FFF2-40B4-BE49-F238E27FC236}">
              <a16:creationId xmlns:a16="http://schemas.microsoft.com/office/drawing/2014/main" id="{1E7E1AEC-29B6-8C1D-8DCC-1369FB354613}"/>
            </a:ext>
          </a:extLst>
        </xdr:cNvPr>
        <xdr:cNvSpPr txBox="1"/>
      </xdr:nvSpPr>
      <xdr:spPr>
        <a:xfrm>
          <a:off x="2827020" y="304800"/>
          <a:ext cx="6896100" cy="922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tx2">
                  <a:lumMod val="90000"/>
                  <a:lumOff val="10000"/>
                </a:schemeClr>
              </a:solidFill>
            </a:rPr>
            <a:t>HR Recruitment</a:t>
          </a:r>
          <a:r>
            <a:rPr lang="en-GB" sz="2400" b="1" baseline="0">
              <a:solidFill>
                <a:schemeClr val="tx2">
                  <a:lumMod val="90000"/>
                  <a:lumOff val="10000"/>
                </a:schemeClr>
              </a:solidFill>
            </a:rPr>
            <a:t> Dashboard 2026</a:t>
          </a:r>
        </a:p>
        <a:p>
          <a:endParaRPr lang="en-GB" sz="2400" b="1">
            <a:solidFill>
              <a:schemeClr val="tx2">
                <a:lumMod val="90000"/>
                <a:lumOff val="10000"/>
              </a:schemeClr>
            </a:solidFill>
          </a:endParaRPr>
        </a:p>
      </xdr:txBody>
    </xdr:sp>
    <xdr:clientData/>
  </xdr:twoCellAnchor>
  <xdr:twoCellAnchor>
    <xdr:from>
      <xdr:col>4</xdr:col>
      <xdr:colOff>190500</xdr:colOff>
      <xdr:row>9</xdr:row>
      <xdr:rowOff>83820</xdr:rowOff>
    </xdr:from>
    <xdr:to>
      <xdr:col>8</xdr:col>
      <xdr:colOff>68580</xdr:colOff>
      <xdr:row>16</xdr:row>
      <xdr:rowOff>160020</xdr:rowOff>
    </xdr:to>
    <xdr:sp macro="" textlink="">
      <xdr:nvSpPr>
        <xdr:cNvPr id="5" name="Rectangle: Rounded Corners 4">
          <a:extLst>
            <a:ext uri="{FF2B5EF4-FFF2-40B4-BE49-F238E27FC236}">
              <a16:creationId xmlns:a16="http://schemas.microsoft.com/office/drawing/2014/main" id="{347388BC-643C-F95D-BB3E-82991564DA37}"/>
            </a:ext>
          </a:extLst>
        </xdr:cNvPr>
        <xdr:cNvSpPr/>
      </xdr:nvSpPr>
      <xdr:spPr>
        <a:xfrm>
          <a:off x="2628900" y="1729740"/>
          <a:ext cx="2316480" cy="135636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8</xdr:col>
      <xdr:colOff>598905</xdr:colOff>
      <xdr:row>9</xdr:row>
      <xdr:rowOff>83820</xdr:rowOff>
    </xdr:from>
    <xdr:to>
      <xdr:col>12</xdr:col>
      <xdr:colOff>476985</xdr:colOff>
      <xdr:row>16</xdr:row>
      <xdr:rowOff>160020</xdr:rowOff>
    </xdr:to>
    <xdr:sp macro="" textlink="">
      <xdr:nvSpPr>
        <xdr:cNvPr id="6" name="Rectangle: Rounded Corners 5">
          <a:extLst>
            <a:ext uri="{FF2B5EF4-FFF2-40B4-BE49-F238E27FC236}">
              <a16:creationId xmlns:a16="http://schemas.microsoft.com/office/drawing/2014/main" id="{B0C99199-89E7-F173-BC53-4C06446E7374}"/>
            </a:ext>
          </a:extLst>
        </xdr:cNvPr>
        <xdr:cNvSpPr/>
      </xdr:nvSpPr>
      <xdr:spPr>
        <a:xfrm>
          <a:off x="5518484" y="1768241"/>
          <a:ext cx="2337869" cy="138630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363754</xdr:colOff>
      <xdr:row>9</xdr:row>
      <xdr:rowOff>83820</xdr:rowOff>
    </xdr:from>
    <xdr:to>
      <xdr:col>17</xdr:col>
      <xdr:colOff>241835</xdr:colOff>
      <xdr:row>16</xdr:row>
      <xdr:rowOff>160020</xdr:rowOff>
    </xdr:to>
    <xdr:sp macro="" textlink="">
      <xdr:nvSpPr>
        <xdr:cNvPr id="7" name="Rectangle: Rounded Corners 6">
          <a:extLst>
            <a:ext uri="{FF2B5EF4-FFF2-40B4-BE49-F238E27FC236}">
              <a16:creationId xmlns:a16="http://schemas.microsoft.com/office/drawing/2014/main" id="{B365950C-DEDA-9D0D-2432-301C8F62A6B6}"/>
            </a:ext>
          </a:extLst>
        </xdr:cNvPr>
        <xdr:cNvSpPr/>
      </xdr:nvSpPr>
      <xdr:spPr>
        <a:xfrm>
          <a:off x="8358070" y="1768241"/>
          <a:ext cx="2337870" cy="138630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18</xdr:col>
      <xdr:colOff>161089</xdr:colOff>
      <xdr:row>9</xdr:row>
      <xdr:rowOff>83820</xdr:rowOff>
    </xdr:from>
    <xdr:to>
      <xdr:col>22</xdr:col>
      <xdr:colOff>39169</xdr:colOff>
      <xdr:row>16</xdr:row>
      <xdr:rowOff>160020</xdr:rowOff>
    </xdr:to>
    <xdr:sp macro="" textlink="">
      <xdr:nvSpPr>
        <xdr:cNvPr id="8" name="Rectangle: Rounded Corners 7">
          <a:extLst>
            <a:ext uri="{FF2B5EF4-FFF2-40B4-BE49-F238E27FC236}">
              <a16:creationId xmlns:a16="http://schemas.microsoft.com/office/drawing/2014/main" id="{2BD696BC-766C-2902-A1B5-8D3A4DB5B0D6}"/>
            </a:ext>
          </a:extLst>
        </xdr:cNvPr>
        <xdr:cNvSpPr/>
      </xdr:nvSpPr>
      <xdr:spPr>
        <a:xfrm>
          <a:off x="11230142" y="1768241"/>
          <a:ext cx="2337869" cy="1386305"/>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190500</xdr:colOff>
      <xdr:row>18</xdr:row>
      <xdr:rowOff>0</xdr:rowOff>
    </xdr:from>
    <xdr:to>
      <xdr:col>12</xdr:col>
      <xdr:colOff>396240</xdr:colOff>
      <xdr:row>31</xdr:row>
      <xdr:rowOff>53340</xdr:rowOff>
    </xdr:to>
    <xdr:sp macro="" textlink="">
      <xdr:nvSpPr>
        <xdr:cNvPr id="9" name="Rectangle: Rounded Corners 8">
          <a:extLst>
            <a:ext uri="{FF2B5EF4-FFF2-40B4-BE49-F238E27FC236}">
              <a16:creationId xmlns:a16="http://schemas.microsoft.com/office/drawing/2014/main" id="{4792FB35-EB1B-A967-04C7-3AE6C824AB6B}"/>
            </a:ext>
          </a:extLst>
        </xdr:cNvPr>
        <xdr:cNvSpPr/>
      </xdr:nvSpPr>
      <xdr:spPr>
        <a:xfrm>
          <a:off x="2628900" y="3291840"/>
          <a:ext cx="5082540" cy="243078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77135</xdr:colOff>
      <xdr:row>17</xdr:row>
      <xdr:rowOff>160421</xdr:rowOff>
    </xdr:from>
    <xdr:to>
      <xdr:col>21</xdr:col>
      <xdr:colOff>601579</xdr:colOff>
      <xdr:row>31</xdr:row>
      <xdr:rowOff>26603</xdr:rowOff>
    </xdr:to>
    <xdr:sp macro="" textlink="">
      <xdr:nvSpPr>
        <xdr:cNvPr id="10" name="Rectangle: Rounded Corners 9">
          <a:extLst>
            <a:ext uri="{FF2B5EF4-FFF2-40B4-BE49-F238E27FC236}">
              <a16:creationId xmlns:a16="http://schemas.microsoft.com/office/drawing/2014/main" id="{1B708C4C-F0A2-31D8-E9D8-964FEBE3E591}"/>
            </a:ext>
          </a:extLst>
        </xdr:cNvPr>
        <xdr:cNvSpPr/>
      </xdr:nvSpPr>
      <xdr:spPr>
        <a:xfrm>
          <a:off x="8071451" y="3342105"/>
          <a:ext cx="5444023" cy="2486393"/>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202130</xdr:colOff>
      <xdr:row>32</xdr:row>
      <xdr:rowOff>38100</xdr:rowOff>
    </xdr:from>
    <xdr:to>
      <xdr:col>21</xdr:col>
      <xdr:colOff>574841</xdr:colOff>
      <xdr:row>45</xdr:row>
      <xdr:rowOff>60960</xdr:rowOff>
    </xdr:to>
    <xdr:sp macro="" textlink="">
      <xdr:nvSpPr>
        <xdr:cNvPr id="11" name="Rectangle: Rounded Corners 10">
          <a:extLst>
            <a:ext uri="{FF2B5EF4-FFF2-40B4-BE49-F238E27FC236}">
              <a16:creationId xmlns:a16="http://schemas.microsoft.com/office/drawing/2014/main" id="{B928CF68-95FC-5EA4-AF83-EEB0B01295F3}"/>
            </a:ext>
          </a:extLst>
        </xdr:cNvPr>
        <xdr:cNvSpPr/>
      </xdr:nvSpPr>
      <xdr:spPr>
        <a:xfrm>
          <a:off x="2661919" y="6027153"/>
          <a:ext cx="10826817" cy="2455912"/>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160019</xdr:colOff>
      <xdr:row>46</xdr:row>
      <xdr:rowOff>91440</xdr:rowOff>
    </xdr:from>
    <xdr:to>
      <xdr:col>21</xdr:col>
      <xdr:colOff>534736</xdr:colOff>
      <xdr:row>61</xdr:row>
      <xdr:rowOff>160421</xdr:rowOff>
    </xdr:to>
    <xdr:sp macro="" textlink="">
      <xdr:nvSpPr>
        <xdr:cNvPr id="12" name="Rectangle: Rounded Corners 11">
          <a:extLst>
            <a:ext uri="{FF2B5EF4-FFF2-40B4-BE49-F238E27FC236}">
              <a16:creationId xmlns:a16="http://schemas.microsoft.com/office/drawing/2014/main" id="{A984A16A-9C0F-1E6D-A787-E3A816E74621}"/>
            </a:ext>
          </a:extLst>
        </xdr:cNvPr>
        <xdr:cNvSpPr/>
      </xdr:nvSpPr>
      <xdr:spPr>
        <a:xfrm>
          <a:off x="2619808" y="8700703"/>
          <a:ext cx="10828823" cy="287635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403860</xdr:colOff>
      <xdr:row>10</xdr:row>
      <xdr:rowOff>30480</xdr:rowOff>
    </xdr:from>
    <xdr:to>
      <xdr:col>7</xdr:col>
      <xdr:colOff>495300</xdr:colOff>
      <xdr:row>12</xdr:row>
      <xdr:rowOff>137160</xdr:rowOff>
    </xdr:to>
    <xdr:sp macro="" textlink="">
      <xdr:nvSpPr>
        <xdr:cNvPr id="13" name="TextBox 12">
          <a:extLst>
            <a:ext uri="{FF2B5EF4-FFF2-40B4-BE49-F238E27FC236}">
              <a16:creationId xmlns:a16="http://schemas.microsoft.com/office/drawing/2014/main" id="{D2C3B954-4E94-D410-7D48-D01A6D990901}"/>
            </a:ext>
          </a:extLst>
        </xdr:cNvPr>
        <xdr:cNvSpPr txBox="1"/>
      </xdr:nvSpPr>
      <xdr:spPr>
        <a:xfrm>
          <a:off x="2842260" y="1859280"/>
          <a:ext cx="19202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baseline="0">
              <a:solidFill>
                <a:schemeClr val="tx2">
                  <a:lumMod val="90000"/>
                  <a:lumOff val="10000"/>
                </a:schemeClr>
              </a:solidFill>
              <a:latin typeface="+mn-lt"/>
              <a:ea typeface="+mn-ea"/>
              <a:cs typeface="+mn-cs"/>
            </a:rPr>
            <a:t>Total</a:t>
          </a:r>
          <a:r>
            <a:rPr lang="en-GB" sz="1800" baseline="0"/>
            <a:t> </a:t>
          </a:r>
          <a:r>
            <a:rPr lang="en-GB" sz="1800" b="1">
              <a:solidFill>
                <a:schemeClr val="tx2">
                  <a:lumMod val="90000"/>
                  <a:lumOff val="10000"/>
                </a:schemeClr>
              </a:solidFill>
              <a:latin typeface="+mn-lt"/>
              <a:ea typeface="+mn-ea"/>
              <a:cs typeface="+mn-cs"/>
            </a:rPr>
            <a:t>Applications</a:t>
          </a:r>
        </a:p>
      </xdr:txBody>
    </xdr:sp>
    <xdr:clientData/>
  </xdr:twoCellAnchor>
  <xdr:twoCellAnchor>
    <xdr:from>
      <xdr:col>9</xdr:col>
      <xdr:colOff>204938</xdr:colOff>
      <xdr:row>10</xdr:row>
      <xdr:rowOff>45720</xdr:rowOff>
    </xdr:from>
    <xdr:to>
      <xdr:col>12</xdr:col>
      <xdr:colOff>301725</xdr:colOff>
      <xdr:row>12</xdr:row>
      <xdr:rowOff>106680</xdr:rowOff>
    </xdr:to>
    <xdr:sp macro="" textlink="">
      <xdr:nvSpPr>
        <xdr:cNvPr id="14" name="TextBox 13">
          <a:extLst>
            <a:ext uri="{FF2B5EF4-FFF2-40B4-BE49-F238E27FC236}">
              <a16:creationId xmlns:a16="http://schemas.microsoft.com/office/drawing/2014/main" id="{F4025149-7FA3-5996-B2CB-A563609339E3}"/>
            </a:ext>
          </a:extLst>
        </xdr:cNvPr>
        <xdr:cNvSpPr txBox="1"/>
      </xdr:nvSpPr>
      <xdr:spPr>
        <a:xfrm>
          <a:off x="5739464" y="1917299"/>
          <a:ext cx="1941629" cy="43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chemeClr val="tx2">
                  <a:lumMod val="90000"/>
                  <a:lumOff val="10000"/>
                </a:schemeClr>
              </a:solidFill>
              <a:latin typeface="+mn-lt"/>
              <a:ea typeface="+mn-ea"/>
              <a:cs typeface="+mn-cs"/>
            </a:rPr>
            <a:t>Total</a:t>
          </a:r>
          <a:r>
            <a:rPr lang="en-GB" sz="1800" baseline="0"/>
            <a:t> </a:t>
          </a:r>
          <a:r>
            <a:rPr lang="en-GB" sz="1800" b="1">
              <a:solidFill>
                <a:schemeClr val="tx2">
                  <a:lumMod val="90000"/>
                  <a:lumOff val="10000"/>
                </a:schemeClr>
              </a:solidFill>
              <a:latin typeface="+mn-lt"/>
              <a:ea typeface="+mn-ea"/>
              <a:cs typeface="+mn-cs"/>
            </a:rPr>
            <a:t>Hires</a:t>
          </a:r>
        </a:p>
      </xdr:txBody>
    </xdr:sp>
    <xdr:clientData/>
  </xdr:twoCellAnchor>
  <xdr:twoCellAnchor>
    <xdr:from>
      <xdr:col>18</xdr:col>
      <xdr:colOff>379796</xdr:colOff>
      <xdr:row>9</xdr:row>
      <xdr:rowOff>99060</xdr:rowOff>
    </xdr:from>
    <xdr:to>
      <xdr:col>21</xdr:col>
      <xdr:colOff>471236</xdr:colOff>
      <xdr:row>13</xdr:row>
      <xdr:rowOff>45720</xdr:rowOff>
    </xdr:to>
    <xdr:sp macro="" textlink="">
      <xdr:nvSpPr>
        <xdr:cNvPr id="17" name="TextBox 16">
          <a:extLst>
            <a:ext uri="{FF2B5EF4-FFF2-40B4-BE49-F238E27FC236}">
              <a16:creationId xmlns:a16="http://schemas.microsoft.com/office/drawing/2014/main" id="{D870FCDC-DC0C-62FB-0C73-5E95FCC6D447}"/>
            </a:ext>
          </a:extLst>
        </xdr:cNvPr>
        <xdr:cNvSpPr txBox="1"/>
      </xdr:nvSpPr>
      <xdr:spPr>
        <a:xfrm>
          <a:off x="11448849" y="1783481"/>
          <a:ext cx="1936282" cy="695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chemeClr val="tx2">
                  <a:lumMod val="90000"/>
                  <a:lumOff val="10000"/>
                </a:schemeClr>
              </a:solidFill>
              <a:latin typeface="+mn-lt"/>
              <a:ea typeface="+mn-ea"/>
              <a:cs typeface="+mn-cs"/>
            </a:rPr>
            <a:t>Applications in Process</a:t>
          </a:r>
          <a:endParaRPr lang="en-GB" sz="1800" b="1">
            <a:solidFill>
              <a:schemeClr val="tx2">
                <a:lumMod val="90000"/>
                <a:lumOff val="10000"/>
              </a:schemeClr>
            </a:solidFill>
            <a:latin typeface="+mn-lt"/>
            <a:ea typeface="+mn-ea"/>
            <a:cs typeface="+mn-cs"/>
          </a:endParaRPr>
        </a:p>
      </xdr:txBody>
    </xdr:sp>
    <xdr:clientData/>
  </xdr:twoCellAnchor>
  <xdr:twoCellAnchor>
    <xdr:from>
      <xdr:col>14</xdr:col>
      <xdr:colOff>66575</xdr:colOff>
      <xdr:row>10</xdr:row>
      <xdr:rowOff>30480</xdr:rowOff>
    </xdr:from>
    <xdr:to>
      <xdr:col>17</xdr:col>
      <xdr:colOff>158015</xdr:colOff>
      <xdr:row>12</xdr:row>
      <xdr:rowOff>91440</xdr:rowOff>
    </xdr:to>
    <xdr:sp macro="" textlink="">
      <xdr:nvSpPr>
        <xdr:cNvPr id="20" name="TextBox 19">
          <a:extLst>
            <a:ext uri="{FF2B5EF4-FFF2-40B4-BE49-F238E27FC236}">
              <a16:creationId xmlns:a16="http://schemas.microsoft.com/office/drawing/2014/main" id="{899ED266-70C1-4F36-F3E6-AE7699B28F50}"/>
            </a:ext>
          </a:extLst>
        </xdr:cNvPr>
        <xdr:cNvSpPr txBox="1"/>
      </xdr:nvSpPr>
      <xdr:spPr>
        <a:xfrm>
          <a:off x="8675838" y="1902059"/>
          <a:ext cx="1936282" cy="43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baseline="0">
              <a:solidFill>
                <a:schemeClr val="tx2">
                  <a:lumMod val="90000"/>
                  <a:lumOff val="10000"/>
                </a:schemeClr>
              </a:solidFill>
              <a:latin typeface="+mn-lt"/>
              <a:ea typeface="+mn-ea"/>
              <a:cs typeface="+mn-cs"/>
            </a:rPr>
            <a:t>Hiring Rate</a:t>
          </a:r>
          <a:endParaRPr lang="en-GB" sz="1800" b="1">
            <a:solidFill>
              <a:schemeClr val="tx2">
                <a:lumMod val="90000"/>
                <a:lumOff val="10000"/>
              </a:schemeClr>
            </a:solidFill>
            <a:latin typeface="+mn-lt"/>
            <a:ea typeface="+mn-ea"/>
            <a:cs typeface="+mn-cs"/>
          </a:endParaRPr>
        </a:p>
      </xdr:txBody>
    </xdr:sp>
    <xdr:clientData/>
  </xdr:twoCellAnchor>
  <xdr:twoCellAnchor>
    <xdr:from>
      <xdr:col>4</xdr:col>
      <xdr:colOff>426720</xdr:colOff>
      <xdr:row>12</xdr:row>
      <xdr:rowOff>152400</xdr:rowOff>
    </xdr:from>
    <xdr:to>
      <xdr:col>7</xdr:col>
      <xdr:colOff>518160</xdr:colOff>
      <xdr:row>15</xdr:row>
      <xdr:rowOff>76200</xdr:rowOff>
    </xdr:to>
    <xdr:sp macro="" textlink="Analysis!C6">
      <xdr:nvSpPr>
        <xdr:cNvPr id="21" name="TextBox 20">
          <a:extLst>
            <a:ext uri="{FF2B5EF4-FFF2-40B4-BE49-F238E27FC236}">
              <a16:creationId xmlns:a16="http://schemas.microsoft.com/office/drawing/2014/main" id="{A47DF088-19FE-FAAD-D393-75AFEF5E45E7}"/>
            </a:ext>
          </a:extLst>
        </xdr:cNvPr>
        <xdr:cNvSpPr txBox="1"/>
      </xdr:nvSpPr>
      <xdr:spPr>
        <a:xfrm>
          <a:off x="2865120" y="2346960"/>
          <a:ext cx="19202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4C3990-ABA2-4616-924D-1CFCF1335260}" type="TxLink">
            <a:rPr lang="en-US" sz="1800" b="1" i="0" u="none" strike="noStrike">
              <a:solidFill>
                <a:schemeClr val="tx2">
                  <a:lumMod val="90000"/>
                  <a:lumOff val="10000"/>
                </a:schemeClr>
              </a:solidFill>
              <a:latin typeface="Aptos Narrow"/>
              <a:ea typeface="+mn-ea"/>
              <a:cs typeface="+mn-cs"/>
            </a:rPr>
            <a:pPr algn="ctr"/>
            <a:t>120</a:t>
          </a:fld>
          <a:endParaRPr lang="en-GB" sz="1800" b="1">
            <a:solidFill>
              <a:schemeClr val="tx2">
                <a:lumMod val="90000"/>
                <a:lumOff val="10000"/>
              </a:schemeClr>
            </a:solidFill>
            <a:latin typeface="+mn-lt"/>
            <a:ea typeface="+mn-ea"/>
            <a:cs typeface="+mn-cs"/>
          </a:endParaRPr>
        </a:p>
      </xdr:txBody>
    </xdr:sp>
    <xdr:clientData/>
  </xdr:twoCellAnchor>
  <xdr:twoCellAnchor>
    <xdr:from>
      <xdr:col>9</xdr:col>
      <xdr:colOff>189698</xdr:colOff>
      <xdr:row>12</xdr:row>
      <xdr:rowOff>167640</xdr:rowOff>
    </xdr:from>
    <xdr:to>
      <xdr:col>12</xdr:col>
      <xdr:colOff>281138</xdr:colOff>
      <xdr:row>15</xdr:row>
      <xdr:rowOff>45720</xdr:rowOff>
    </xdr:to>
    <xdr:sp macro="" textlink="Analysis!E20">
      <xdr:nvSpPr>
        <xdr:cNvPr id="22" name="TextBox 21">
          <a:extLst>
            <a:ext uri="{FF2B5EF4-FFF2-40B4-BE49-F238E27FC236}">
              <a16:creationId xmlns:a16="http://schemas.microsoft.com/office/drawing/2014/main" id="{F152D1F9-5913-5748-0AC4-14DF493ED7E1}"/>
            </a:ext>
          </a:extLst>
        </xdr:cNvPr>
        <xdr:cNvSpPr txBox="1"/>
      </xdr:nvSpPr>
      <xdr:spPr>
        <a:xfrm>
          <a:off x="5724224" y="2413535"/>
          <a:ext cx="1936282" cy="439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E81EAC-3685-4E6F-9B4C-1DD437B45D5A}" type="TxLink">
            <a:rPr lang="en-US" sz="1800" b="1" i="0" u="none" strike="noStrike">
              <a:solidFill>
                <a:schemeClr val="tx2">
                  <a:lumMod val="90000"/>
                  <a:lumOff val="10000"/>
                </a:schemeClr>
              </a:solidFill>
              <a:latin typeface="Aptos Narrow"/>
              <a:ea typeface="+mn-ea"/>
              <a:cs typeface="+mn-cs"/>
            </a:rPr>
            <a:t>25</a:t>
          </a:fld>
          <a:endParaRPr lang="en-GB" sz="1800" b="1">
            <a:solidFill>
              <a:schemeClr val="tx2">
                <a:lumMod val="90000"/>
                <a:lumOff val="10000"/>
              </a:schemeClr>
            </a:solidFill>
            <a:latin typeface="+mn-lt"/>
            <a:ea typeface="+mn-ea"/>
            <a:cs typeface="+mn-cs"/>
          </a:endParaRPr>
        </a:p>
      </xdr:txBody>
    </xdr:sp>
    <xdr:clientData/>
  </xdr:twoCellAnchor>
  <xdr:twoCellAnchor>
    <xdr:from>
      <xdr:col>14</xdr:col>
      <xdr:colOff>28475</xdr:colOff>
      <xdr:row>13</xdr:row>
      <xdr:rowOff>7620</xdr:rowOff>
    </xdr:from>
    <xdr:to>
      <xdr:col>17</xdr:col>
      <xdr:colOff>119915</xdr:colOff>
      <xdr:row>15</xdr:row>
      <xdr:rowOff>68580</xdr:rowOff>
    </xdr:to>
    <xdr:sp macro="" textlink="Analysis!A27">
      <xdr:nvSpPr>
        <xdr:cNvPr id="23" name="TextBox 22">
          <a:extLst>
            <a:ext uri="{FF2B5EF4-FFF2-40B4-BE49-F238E27FC236}">
              <a16:creationId xmlns:a16="http://schemas.microsoft.com/office/drawing/2014/main" id="{9BEBCA9B-2DBA-6493-FF21-89A8692933FE}"/>
            </a:ext>
          </a:extLst>
        </xdr:cNvPr>
        <xdr:cNvSpPr txBox="1"/>
      </xdr:nvSpPr>
      <xdr:spPr>
        <a:xfrm>
          <a:off x="8637738" y="2440673"/>
          <a:ext cx="1936282" cy="43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C0EAAD-3DB4-40D1-B630-7983C2F31061}" type="TxLink">
            <a:rPr lang="en-US" sz="1800" b="1" i="0" u="none" strike="noStrike">
              <a:solidFill>
                <a:schemeClr val="tx2">
                  <a:lumMod val="90000"/>
                  <a:lumOff val="10000"/>
                </a:schemeClr>
              </a:solidFill>
              <a:latin typeface="Aptos Narrow"/>
              <a:ea typeface="+mn-ea"/>
              <a:cs typeface="+mn-cs"/>
            </a:rPr>
            <a:t>20.83%</a:t>
          </a:fld>
          <a:endParaRPr lang="en-GB" sz="1800" b="1">
            <a:solidFill>
              <a:schemeClr val="tx2">
                <a:lumMod val="90000"/>
                <a:lumOff val="10000"/>
              </a:schemeClr>
            </a:solidFill>
            <a:latin typeface="+mn-lt"/>
            <a:ea typeface="+mn-ea"/>
            <a:cs typeface="+mn-cs"/>
          </a:endParaRPr>
        </a:p>
      </xdr:txBody>
    </xdr:sp>
    <xdr:clientData/>
  </xdr:twoCellAnchor>
  <xdr:twoCellAnchor>
    <xdr:from>
      <xdr:col>18</xdr:col>
      <xdr:colOff>335948</xdr:colOff>
      <xdr:row>13</xdr:row>
      <xdr:rowOff>55345</xdr:rowOff>
    </xdr:from>
    <xdr:to>
      <xdr:col>21</xdr:col>
      <xdr:colOff>427388</xdr:colOff>
      <xdr:row>15</xdr:row>
      <xdr:rowOff>116305</xdr:rowOff>
    </xdr:to>
    <xdr:sp macro="" textlink="Analysis!E21">
      <xdr:nvSpPr>
        <xdr:cNvPr id="24" name="TextBox 23">
          <a:extLst>
            <a:ext uri="{FF2B5EF4-FFF2-40B4-BE49-F238E27FC236}">
              <a16:creationId xmlns:a16="http://schemas.microsoft.com/office/drawing/2014/main" id="{D680D9D7-BE0D-0E34-1FC7-F91D5A3C7C13}"/>
            </a:ext>
          </a:extLst>
        </xdr:cNvPr>
        <xdr:cNvSpPr txBox="1"/>
      </xdr:nvSpPr>
      <xdr:spPr>
        <a:xfrm>
          <a:off x="11405001" y="2488398"/>
          <a:ext cx="1936282" cy="43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43AC51-36A1-41EE-9312-C7F0E89F8D1A}" type="TxLink">
            <a:rPr lang="en-US" sz="1800" b="1" i="0" u="none" strike="noStrike">
              <a:solidFill>
                <a:schemeClr val="tx2">
                  <a:lumMod val="90000"/>
                  <a:lumOff val="10000"/>
                </a:schemeClr>
              </a:solidFill>
              <a:latin typeface="Aptos Narrow"/>
              <a:ea typeface="+mn-ea"/>
              <a:cs typeface="+mn-cs"/>
            </a:rPr>
            <a:t>78</a:t>
          </a:fld>
          <a:endParaRPr lang="en-GB" sz="1800" b="1">
            <a:solidFill>
              <a:schemeClr val="tx2">
                <a:lumMod val="90000"/>
                <a:lumOff val="10000"/>
              </a:schemeClr>
            </a:solidFill>
            <a:latin typeface="+mn-lt"/>
            <a:ea typeface="+mn-ea"/>
            <a:cs typeface="+mn-cs"/>
          </a:endParaRPr>
        </a:p>
      </xdr:txBody>
    </xdr:sp>
    <xdr:clientData/>
  </xdr:twoCellAnchor>
  <xdr:twoCellAnchor>
    <xdr:from>
      <xdr:col>4</xdr:col>
      <xdr:colOff>403860</xdr:colOff>
      <xdr:row>18</xdr:row>
      <xdr:rowOff>38100</xdr:rowOff>
    </xdr:from>
    <xdr:to>
      <xdr:col>10</xdr:col>
      <xdr:colOff>228600</xdr:colOff>
      <xdr:row>20</xdr:row>
      <xdr:rowOff>144780</xdr:rowOff>
    </xdr:to>
    <xdr:sp macro="" textlink="">
      <xdr:nvSpPr>
        <xdr:cNvPr id="25" name="TextBox 24">
          <a:extLst>
            <a:ext uri="{FF2B5EF4-FFF2-40B4-BE49-F238E27FC236}">
              <a16:creationId xmlns:a16="http://schemas.microsoft.com/office/drawing/2014/main" id="{5EB5D7CB-908F-D7F8-E58D-792D24C82A54}"/>
            </a:ext>
          </a:extLst>
        </xdr:cNvPr>
        <xdr:cNvSpPr txBox="1"/>
      </xdr:nvSpPr>
      <xdr:spPr>
        <a:xfrm>
          <a:off x="2842260" y="3329940"/>
          <a:ext cx="34823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solidFill>
                <a:schemeClr val="tx2">
                  <a:lumMod val="90000"/>
                  <a:lumOff val="10000"/>
                </a:schemeClr>
              </a:solidFill>
              <a:latin typeface="+mn-lt"/>
              <a:ea typeface="+mn-ea"/>
              <a:cs typeface="+mn-cs"/>
            </a:rPr>
            <a:t>Applications by Department </a:t>
          </a:r>
        </a:p>
      </xdr:txBody>
    </xdr:sp>
    <xdr:clientData/>
  </xdr:twoCellAnchor>
  <xdr:twoCellAnchor>
    <xdr:from>
      <xdr:col>4</xdr:col>
      <xdr:colOff>213360</xdr:colOff>
      <xdr:row>20</xdr:row>
      <xdr:rowOff>53340</xdr:rowOff>
    </xdr:from>
    <xdr:to>
      <xdr:col>12</xdr:col>
      <xdr:colOff>30480</xdr:colOff>
      <xdr:row>30</xdr:row>
      <xdr:rowOff>129540</xdr:rowOff>
    </xdr:to>
    <xdr:graphicFrame macro="">
      <xdr:nvGraphicFramePr>
        <xdr:cNvPr id="26" name="Chart 25">
          <a:extLst>
            <a:ext uri="{FF2B5EF4-FFF2-40B4-BE49-F238E27FC236}">
              <a16:creationId xmlns:a16="http://schemas.microsoft.com/office/drawing/2014/main" id="{4295E6F8-52EF-4F41-9E44-937B0877D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234883</xdr:colOff>
      <xdr:row>18</xdr:row>
      <xdr:rowOff>11363</xdr:rowOff>
    </xdr:from>
    <xdr:to>
      <xdr:col>19</xdr:col>
      <xdr:colOff>54276</xdr:colOff>
      <xdr:row>20</xdr:row>
      <xdr:rowOff>118043</xdr:rowOff>
    </xdr:to>
    <xdr:sp macro="" textlink="">
      <xdr:nvSpPr>
        <xdr:cNvPr id="28" name="TextBox 27">
          <a:extLst>
            <a:ext uri="{FF2B5EF4-FFF2-40B4-BE49-F238E27FC236}">
              <a16:creationId xmlns:a16="http://schemas.microsoft.com/office/drawing/2014/main" id="{321B5A9E-4D4D-CBB9-4F0C-6478FD683A4B}"/>
            </a:ext>
          </a:extLst>
        </xdr:cNvPr>
        <xdr:cNvSpPr txBox="1"/>
      </xdr:nvSpPr>
      <xdr:spPr>
        <a:xfrm>
          <a:off x="8229199" y="3380205"/>
          <a:ext cx="3509077" cy="48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solidFill>
                <a:schemeClr val="tx2">
                  <a:lumMod val="90000"/>
                  <a:lumOff val="10000"/>
                </a:schemeClr>
              </a:solidFill>
              <a:latin typeface="+mn-lt"/>
              <a:ea typeface="+mn-ea"/>
              <a:cs typeface="+mn-cs"/>
            </a:rPr>
            <a:t>Applications by Date </a:t>
          </a:r>
        </a:p>
      </xdr:txBody>
    </xdr:sp>
    <xdr:clientData/>
  </xdr:twoCellAnchor>
  <xdr:twoCellAnchor>
    <xdr:from>
      <xdr:col>13</xdr:col>
      <xdr:colOff>246305</xdr:colOff>
      <xdr:row>20</xdr:row>
      <xdr:rowOff>0</xdr:rowOff>
    </xdr:from>
    <xdr:to>
      <xdr:col>21</xdr:col>
      <xdr:colOff>430696</xdr:colOff>
      <xdr:row>29</xdr:row>
      <xdr:rowOff>51794</xdr:rowOff>
    </xdr:to>
    <xdr:graphicFrame macro="">
      <xdr:nvGraphicFramePr>
        <xdr:cNvPr id="29" name="Chart 28">
          <a:extLst>
            <a:ext uri="{FF2B5EF4-FFF2-40B4-BE49-F238E27FC236}">
              <a16:creationId xmlns:a16="http://schemas.microsoft.com/office/drawing/2014/main" id="{47EF0283-9820-4B47-B0AB-AA7CFE5E6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484071</xdr:colOff>
      <xdr:row>32</xdr:row>
      <xdr:rowOff>91440</xdr:rowOff>
    </xdr:from>
    <xdr:to>
      <xdr:col>10</xdr:col>
      <xdr:colOff>308811</xdr:colOff>
      <xdr:row>35</xdr:row>
      <xdr:rowOff>15240</xdr:rowOff>
    </xdr:to>
    <xdr:sp macro="" textlink="">
      <xdr:nvSpPr>
        <xdr:cNvPr id="30" name="TextBox 29">
          <a:extLst>
            <a:ext uri="{FF2B5EF4-FFF2-40B4-BE49-F238E27FC236}">
              <a16:creationId xmlns:a16="http://schemas.microsoft.com/office/drawing/2014/main" id="{8190D99E-788C-44E1-9BFE-77EC3CF3BCFF}"/>
            </a:ext>
          </a:extLst>
        </xdr:cNvPr>
        <xdr:cNvSpPr txBox="1"/>
      </xdr:nvSpPr>
      <xdr:spPr>
        <a:xfrm>
          <a:off x="2943860" y="6080493"/>
          <a:ext cx="3514425" cy="485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solidFill>
                <a:schemeClr val="tx2">
                  <a:lumMod val="90000"/>
                  <a:lumOff val="10000"/>
                </a:schemeClr>
              </a:solidFill>
              <a:latin typeface="+mn-lt"/>
              <a:ea typeface="+mn-ea"/>
              <a:cs typeface="+mn-cs"/>
            </a:rPr>
            <a:t>Applications by Sorce </a:t>
          </a:r>
        </a:p>
      </xdr:txBody>
    </xdr:sp>
    <xdr:clientData/>
  </xdr:twoCellAnchor>
  <xdr:twoCellAnchor>
    <xdr:from>
      <xdr:col>4</xdr:col>
      <xdr:colOff>473242</xdr:colOff>
      <xdr:row>49</xdr:row>
      <xdr:rowOff>38100</xdr:rowOff>
    </xdr:from>
    <xdr:to>
      <xdr:col>20</xdr:col>
      <xdr:colOff>518962</xdr:colOff>
      <xdr:row>61</xdr:row>
      <xdr:rowOff>38100</xdr:rowOff>
    </xdr:to>
    <xdr:graphicFrame macro="">
      <xdr:nvGraphicFramePr>
        <xdr:cNvPr id="31" name="Chart 30">
          <a:extLst>
            <a:ext uri="{FF2B5EF4-FFF2-40B4-BE49-F238E27FC236}">
              <a16:creationId xmlns:a16="http://schemas.microsoft.com/office/drawing/2014/main" id="{18B9EA34-C488-4B2C-923E-3BB0A3A69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403860</xdr:colOff>
      <xdr:row>46</xdr:row>
      <xdr:rowOff>144780</xdr:rowOff>
    </xdr:from>
    <xdr:to>
      <xdr:col>10</xdr:col>
      <xdr:colOff>228600</xdr:colOff>
      <xdr:row>49</xdr:row>
      <xdr:rowOff>68580</xdr:rowOff>
    </xdr:to>
    <xdr:sp macro="" textlink="">
      <xdr:nvSpPr>
        <xdr:cNvPr id="32" name="TextBox 31">
          <a:extLst>
            <a:ext uri="{FF2B5EF4-FFF2-40B4-BE49-F238E27FC236}">
              <a16:creationId xmlns:a16="http://schemas.microsoft.com/office/drawing/2014/main" id="{E94819F6-E01D-9C9F-BDB8-E3EC1944969C}"/>
            </a:ext>
          </a:extLst>
        </xdr:cNvPr>
        <xdr:cNvSpPr txBox="1"/>
      </xdr:nvSpPr>
      <xdr:spPr>
        <a:xfrm>
          <a:off x="2842260" y="8557260"/>
          <a:ext cx="348234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800" b="1">
              <a:solidFill>
                <a:schemeClr val="tx2">
                  <a:lumMod val="90000"/>
                  <a:lumOff val="10000"/>
                </a:schemeClr>
              </a:solidFill>
              <a:latin typeface="+mn-lt"/>
              <a:ea typeface="+mn-ea"/>
              <a:cs typeface="+mn-cs"/>
            </a:rPr>
            <a:t>Applications by Stage </a:t>
          </a:r>
        </a:p>
      </xdr:txBody>
    </xdr:sp>
    <xdr:clientData/>
  </xdr:twoCellAnchor>
  <xdr:twoCellAnchor>
    <xdr:from>
      <xdr:col>0</xdr:col>
      <xdr:colOff>312420</xdr:colOff>
      <xdr:row>2</xdr:row>
      <xdr:rowOff>45720</xdr:rowOff>
    </xdr:from>
    <xdr:to>
      <xdr:col>3</xdr:col>
      <xdr:colOff>350520</xdr:colOff>
      <xdr:row>18</xdr:row>
      <xdr:rowOff>30480</xdr:rowOff>
    </xdr:to>
    <xdr:sp macro="" textlink="">
      <xdr:nvSpPr>
        <xdr:cNvPr id="33" name="Rectangle: Rounded Corners 32">
          <a:extLst>
            <a:ext uri="{FF2B5EF4-FFF2-40B4-BE49-F238E27FC236}">
              <a16:creationId xmlns:a16="http://schemas.microsoft.com/office/drawing/2014/main" id="{02BC8C4A-EC7D-38B3-CFD1-807BB33DCE2E}"/>
            </a:ext>
          </a:extLst>
        </xdr:cNvPr>
        <xdr:cNvSpPr/>
      </xdr:nvSpPr>
      <xdr:spPr>
        <a:xfrm>
          <a:off x="312420" y="420036"/>
          <a:ext cx="1882942" cy="29792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0</xdr:col>
      <xdr:colOff>449580</xdr:colOff>
      <xdr:row>3</xdr:row>
      <xdr:rowOff>53340</xdr:rowOff>
    </xdr:from>
    <xdr:to>
      <xdr:col>3</xdr:col>
      <xdr:colOff>228600</xdr:colOff>
      <xdr:row>16</xdr:row>
      <xdr:rowOff>180975</xdr:rowOff>
    </xdr:to>
    <mc:AlternateContent xmlns:mc="http://schemas.openxmlformats.org/markup-compatibility/2006">
      <mc:Choice xmlns:a14="http://schemas.microsoft.com/office/drawing/2010/main" Requires="a14">
        <xdr:graphicFrame macro="">
          <xdr:nvGraphicFramePr>
            <xdr:cNvPr id="34" name="Department 1">
              <a:extLst>
                <a:ext uri="{FF2B5EF4-FFF2-40B4-BE49-F238E27FC236}">
                  <a16:creationId xmlns:a16="http://schemas.microsoft.com/office/drawing/2014/main" id="{1731D7BB-8B47-41FB-B7A7-26B2617A981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49580" y="616557"/>
              <a:ext cx="1601194" cy="25682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339157</xdr:colOff>
      <xdr:row>20</xdr:row>
      <xdr:rowOff>70318</xdr:rowOff>
    </xdr:from>
    <xdr:to>
      <xdr:col>3</xdr:col>
      <xdr:colOff>377257</xdr:colOff>
      <xdr:row>36</xdr:row>
      <xdr:rowOff>55078</xdr:rowOff>
    </xdr:to>
    <xdr:sp macro="" textlink="">
      <xdr:nvSpPr>
        <xdr:cNvPr id="35" name="Rectangle: Rounded Corners 34">
          <a:extLst>
            <a:ext uri="{FF2B5EF4-FFF2-40B4-BE49-F238E27FC236}">
              <a16:creationId xmlns:a16="http://schemas.microsoft.com/office/drawing/2014/main" id="{A5E0B59E-C885-060E-32FA-40557A64F96F}"/>
            </a:ext>
          </a:extLst>
        </xdr:cNvPr>
        <xdr:cNvSpPr/>
      </xdr:nvSpPr>
      <xdr:spPr>
        <a:xfrm>
          <a:off x="339157" y="3813476"/>
          <a:ext cx="1882942" cy="297928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editAs="oneCell">
    <xdr:from>
      <xdr:col>0</xdr:col>
      <xdr:colOff>415357</xdr:colOff>
      <xdr:row>21</xdr:row>
      <xdr:rowOff>62698</xdr:rowOff>
    </xdr:from>
    <xdr:to>
      <xdr:col>3</xdr:col>
      <xdr:colOff>316297</xdr:colOff>
      <xdr:row>35</xdr:row>
      <xdr:rowOff>83654</xdr:rowOff>
    </xdr:to>
    <mc:AlternateContent xmlns:mc="http://schemas.openxmlformats.org/markup-compatibility/2006">
      <mc:Choice xmlns:a14="http://schemas.microsoft.com/office/drawing/2010/main" Requires="a14">
        <xdr:graphicFrame macro="">
          <xdr:nvGraphicFramePr>
            <xdr:cNvPr id="36" name="Position Applied 1">
              <a:extLst>
                <a:ext uri="{FF2B5EF4-FFF2-40B4-BE49-F238E27FC236}">
                  <a16:creationId xmlns:a16="http://schemas.microsoft.com/office/drawing/2014/main" id="{C84C57EB-D0EE-45CD-98EC-B65E12F6B8F3}"/>
                </a:ext>
              </a:extLst>
            </xdr:cNvPr>
            <xdr:cNvGraphicFramePr/>
          </xdr:nvGraphicFramePr>
          <xdr:xfrm>
            <a:off x="0" y="0"/>
            <a:ext cx="0" cy="0"/>
          </xdr:xfrm>
          <a:graphic>
            <a:graphicData uri="http://schemas.microsoft.com/office/drawing/2010/slicer">
              <sle:slicer xmlns:sle="http://schemas.microsoft.com/office/drawing/2010/slicer" name="Position Applied 1"/>
            </a:graphicData>
          </a:graphic>
        </xdr:graphicFrame>
      </mc:Choice>
      <mc:Fallback>
        <xdr:sp macro="" textlink="">
          <xdr:nvSpPr>
            <xdr:cNvPr id="0" name=""/>
            <xdr:cNvSpPr>
              <a:spLocks noTextEdit="1"/>
            </xdr:cNvSpPr>
          </xdr:nvSpPr>
          <xdr:spPr>
            <a:xfrm>
              <a:off x="415357" y="4005220"/>
              <a:ext cx="1723114" cy="26493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548640</xdr:colOff>
      <xdr:row>4</xdr:row>
      <xdr:rowOff>22860</xdr:rowOff>
    </xdr:from>
    <xdr:to>
      <xdr:col>15</xdr:col>
      <xdr:colOff>15240</xdr:colOff>
      <xdr:row>7</xdr:row>
      <xdr:rowOff>22860</xdr:rowOff>
    </xdr:to>
    <xdr:sp macro="" textlink="">
      <xdr:nvSpPr>
        <xdr:cNvPr id="37" name="Rectangle: Rounded Corners 36">
          <a:extLst>
            <a:ext uri="{FF2B5EF4-FFF2-40B4-BE49-F238E27FC236}">
              <a16:creationId xmlns:a16="http://schemas.microsoft.com/office/drawing/2014/main" id="{1BC64EFB-2441-4C68-A4CE-EC7BCE35112C}"/>
            </a:ext>
          </a:extLst>
        </xdr:cNvPr>
        <xdr:cNvSpPr/>
      </xdr:nvSpPr>
      <xdr:spPr>
        <a:xfrm>
          <a:off x="7863840" y="754380"/>
          <a:ext cx="1295400" cy="5486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335280</xdr:colOff>
      <xdr:row>4</xdr:row>
      <xdr:rowOff>22860</xdr:rowOff>
    </xdr:from>
    <xdr:to>
      <xdr:col>17</xdr:col>
      <xdr:colOff>411480</xdr:colOff>
      <xdr:row>7</xdr:row>
      <xdr:rowOff>22860</xdr:rowOff>
    </xdr:to>
    <xdr:sp macro="" textlink="">
      <xdr:nvSpPr>
        <xdr:cNvPr id="38" name="Rectangle: Rounded Corners 37">
          <a:extLst>
            <a:ext uri="{FF2B5EF4-FFF2-40B4-BE49-F238E27FC236}">
              <a16:creationId xmlns:a16="http://schemas.microsoft.com/office/drawing/2014/main" id="{55506907-A5DD-CEF7-09B5-77BF65487EC3}"/>
            </a:ext>
          </a:extLst>
        </xdr:cNvPr>
        <xdr:cNvSpPr/>
      </xdr:nvSpPr>
      <xdr:spPr>
        <a:xfrm>
          <a:off x="9479280" y="754380"/>
          <a:ext cx="1295400" cy="5486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68580</xdr:colOff>
      <xdr:row>4</xdr:row>
      <xdr:rowOff>22860</xdr:rowOff>
    </xdr:from>
    <xdr:to>
      <xdr:col>20</xdr:col>
      <xdr:colOff>144780</xdr:colOff>
      <xdr:row>7</xdr:row>
      <xdr:rowOff>22860</xdr:rowOff>
    </xdr:to>
    <xdr:sp macro="" textlink="">
      <xdr:nvSpPr>
        <xdr:cNvPr id="39" name="Rectangle: Rounded Corners 38">
          <a:extLst>
            <a:ext uri="{FF2B5EF4-FFF2-40B4-BE49-F238E27FC236}">
              <a16:creationId xmlns:a16="http://schemas.microsoft.com/office/drawing/2014/main" id="{B2DFF4B2-DDA1-9561-63AD-560A8A5F51A6}"/>
            </a:ext>
          </a:extLst>
        </xdr:cNvPr>
        <xdr:cNvSpPr/>
      </xdr:nvSpPr>
      <xdr:spPr>
        <a:xfrm>
          <a:off x="11041380" y="754380"/>
          <a:ext cx="1295400" cy="5486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99060</xdr:colOff>
      <xdr:row>4</xdr:row>
      <xdr:rowOff>137160</xdr:rowOff>
    </xdr:from>
    <xdr:to>
      <xdr:col>14</xdr:col>
      <xdr:colOff>426720</xdr:colOff>
      <xdr:row>6</xdr:row>
      <xdr:rowOff>83820</xdr:rowOff>
    </xdr:to>
    <xdr:sp macro="" textlink="">
      <xdr:nvSpPr>
        <xdr:cNvPr id="40" name="TextBox 39">
          <a:hlinkClick xmlns:r="http://schemas.openxmlformats.org/officeDocument/2006/relationships" r:id="rId4"/>
          <a:extLst>
            <a:ext uri="{FF2B5EF4-FFF2-40B4-BE49-F238E27FC236}">
              <a16:creationId xmlns:a16="http://schemas.microsoft.com/office/drawing/2014/main" id="{2CD95ECD-43A6-4B47-9375-355CA7A81619}"/>
            </a:ext>
          </a:extLst>
        </xdr:cNvPr>
        <xdr:cNvSpPr txBox="1"/>
      </xdr:nvSpPr>
      <xdr:spPr>
        <a:xfrm>
          <a:off x="8023860" y="868680"/>
          <a:ext cx="9372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tx2">
                  <a:lumMod val="90000"/>
                  <a:lumOff val="10000"/>
                </a:schemeClr>
              </a:solidFill>
            </a:rPr>
            <a:t>Data</a:t>
          </a:r>
        </a:p>
      </xdr:txBody>
    </xdr:sp>
    <xdr:clientData/>
  </xdr:twoCellAnchor>
  <xdr:twoCellAnchor>
    <xdr:from>
      <xdr:col>15</xdr:col>
      <xdr:colOff>533400</xdr:colOff>
      <xdr:row>4</xdr:row>
      <xdr:rowOff>137160</xdr:rowOff>
    </xdr:from>
    <xdr:to>
      <xdr:col>17</xdr:col>
      <xdr:colOff>251460</xdr:colOff>
      <xdr:row>6</xdr:row>
      <xdr:rowOff>83820</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C31D8A17-0588-BE0F-46D1-9283ACD4DCA2}"/>
            </a:ext>
          </a:extLst>
        </xdr:cNvPr>
        <xdr:cNvSpPr txBox="1"/>
      </xdr:nvSpPr>
      <xdr:spPr>
        <a:xfrm>
          <a:off x="9677400" y="868680"/>
          <a:ext cx="9372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tx2">
                  <a:lumMod val="90000"/>
                  <a:lumOff val="10000"/>
                </a:schemeClr>
              </a:solidFill>
            </a:rPr>
            <a:t>Analysis</a:t>
          </a:r>
          <a:r>
            <a:rPr lang="en-GB" sz="1600" b="1" baseline="0">
              <a:solidFill>
                <a:schemeClr val="tx2">
                  <a:lumMod val="90000"/>
                  <a:lumOff val="10000"/>
                </a:schemeClr>
              </a:solidFill>
            </a:rPr>
            <a:t> </a:t>
          </a:r>
          <a:endParaRPr lang="en-GB" sz="1600" b="1">
            <a:solidFill>
              <a:schemeClr val="tx2">
                <a:lumMod val="90000"/>
                <a:lumOff val="10000"/>
              </a:schemeClr>
            </a:solidFill>
          </a:endParaRPr>
        </a:p>
      </xdr:txBody>
    </xdr:sp>
    <xdr:clientData/>
  </xdr:twoCellAnchor>
  <xdr:twoCellAnchor>
    <xdr:from>
      <xdr:col>18</xdr:col>
      <xdr:colOff>266700</xdr:colOff>
      <xdr:row>4</xdr:row>
      <xdr:rowOff>137160</xdr:rowOff>
    </xdr:from>
    <xdr:to>
      <xdr:col>19</xdr:col>
      <xdr:colOff>594360</xdr:colOff>
      <xdr:row>6</xdr:row>
      <xdr:rowOff>83820</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41D0C744-2DF3-8C37-B613-FDC34F2C2DBD}"/>
            </a:ext>
          </a:extLst>
        </xdr:cNvPr>
        <xdr:cNvSpPr txBox="1"/>
      </xdr:nvSpPr>
      <xdr:spPr>
        <a:xfrm>
          <a:off x="11239500" y="868680"/>
          <a:ext cx="9372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tx2">
                  <a:lumMod val="90000"/>
                  <a:lumOff val="10000"/>
                </a:schemeClr>
              </a:solidFill>
            </a:rPr>
            <a:t>Contact</a:t>
          </a:r>
        </a:p>
      </xdr:txBody>
    </xdr:sp>
    <xdr:clientData/>
  </xdr:twoCellAnchor>
  <xdr:twoCellAnchor>
    <xdr:from>
      <xdr:col>4</xdr:col>
      <xdr:colOff>398005</xdr:colOff>
      <xdr:row>34</xdr:row>
      <xdr:rowOff>66260</xdr:rowOff>
    </xdr:from>
    <xdr:to>
      <xdr:col>21</xdr:col>
      <xdr:colOff>309218</xdr:colOff>
      <xdr:row>45</xdr:row>
      <xdr:rowOff>123308</xdr:rowOff>
    </xdr:to>
    <xdr:graphicFrame macro="">
      <xdr:nvGraphicFramePr>
        <xdr:cNvPr id="46" name="Chart 45">
          <a:extLst>
            <a:ext uri="{FF2B5EF4-FFF2-40B4-BE49-F238E27FC236}">
              <a16:creationId xmlns:a16="http://schemas.microsoft.com/office/drawing/2014/main" id="{A51A519A-540C-470D-8A1E-52FEF4A72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drienne Edwards-Lord" refreshedDate="46306.4986130787" createdVersion="8" refreshedVersion="8" minRefreshableVersion="3" recordCount="120" xr:uid="{08D9743B-A5AA-4186-A331-475D68FBE5FD}">
  <cacheSource type="worksheet">
    <worksheetSource name="Table1"/>
  </cacheSource>
  <cacheFields count="12">
    <cacheField name="Candidate ID" numFmtId="0">
      <sharedItems/>
    </cacheField>
    <cacheField name="Full Name" numFmtId="0">
      <sharedItems/>
    </cacheField>
    <cacheField name="Position Applied" numFmtId="0">
      <sharedItems count="115">
        <s v="Data Analyst"/>
        <s v="HR Specialist"/>
        <s v="Software Engineer"/>
        <s v="Marketing Coordinator"/>
        <s v="Financial Analyst"/>
        <s v="UX Designer"/>
        <s v="Sales Executive"/>
        <s v="Accountant"/>
        <s v="Project Manager"/>
        <s v="Recruiter"/>
        <s v="DevOps Engineer"/>
        <s v="Content Writer"/>
        <s v="Business Analyst"/>
        <s v="Administrative Assistant"/>
        <s v="Sales Manager"/>
        <s v="Graphic Designer"/>
        <s v="Data Engineer"/>
        <s v="Talent Acquisition"/>
        <s v="Network Engineer"/>
        <s v="Customer Service Rep"/>
        <s v="Procurement Officer"/>
        <s v="Marketing Manager"/>
        <s v="Frontend Developer"/>
        <s v="Payroll Specialist"/>
        <s v="Operations Manager"/>
        <s v="Junior Accountant"/>
        <s v="Cloud Architect"/>
        <s v="HR Business Partner"/>
        <s v="UI Designer"/>
        <s v="Financial Controller"/>
        <s v="Social Media Specialist"/>
        <s v="Backend Developer"/>
        <s v="Office Manager"/>
        <s v="Data Scientist"/>
        <s v="Training Coordinator"/>
        <s v="QA Engineer"/>
        <s v="Brand Manager"/>
        <s v="Internal Auditor"/>
        <s v="Junior Recruiter"/>
        <s v="Mobile Developer"/>
        <s v="Receptionist"/>
        <s v="Solutions Architect"/>
        <s v="SEO Specialist"/>
        <s v="Account Manager"/>
        <s v="Compensation Analyst"/>
        <s v="Database Administrator"/>
        <s v="Event Coordinator"/>
        <s v="Treasury Analyst"/>
        <s v="Learning &amp; Dev Specialist"/>
        <s v="Cybersecurity Analyst"/>
        <s v="Junior Designer"/>
        <s v="Supply Chain Analyst"/>
        <s v="HR Coordinator"/>
        <s v="Full Stack Developer"/>
        <s v="Marketing Analyst"/>
        <s v="Logistics Coordinator"/>
        <s v="Tax Specialist"/>
        <s v="Product Manager"/>
        <s v="Executive Assistant"/>
        <s v="Java Developer"/>
        <s v="PR Specialist"/>
        <s v="Inside Sales Rep"/>
        <s v="HRIS Analyst"/>
        <s v="Site Reliability Engineer"/>
        <s v="Copywriter"/>
        <s v="Risk Analyst"/>
        <s v="Onboarding Specialist"/>
        <s v="Machine Learning Engineer"/>
        <s v="Brand Strategist"/>
        <s v="Systems Administrator"/>
        <s v="HR Generalist"/>
        <s v="Sales Engineer"/>
        <s v="Financial Reporting Analyst"/>
        <s v="IT Support Specialist"/>
        <s v="Product Designer"/>
        <s v="Procurement Manager"/>
        <s v="Junior Marketing Specialist"/>
        <s v="Compensation &amp; Benefits"/>
        <s v="Office Assistant"/>
        <s v="FP&amp;A Analyst"/>
        <s v="Recruitment Coordinator"/>
        <s v="iOS Developer"/>
        <s v="Digital Marketing Specialist"/>
        <s v="Senior Auditor"/>
        <s v="Talent Sourcer"/>
        <s v="AI Engineer"/>
        <s v="Communications Officer"/>
        <s v="Field Sales Rep"/>
        <s v="UX Researcher"/>
        <s v="SAP Consultant"/>
        <s v="Employee Relations Specialist"/>
        <s v="Marketing Director"/>
        <s v="Help Desk Technician"/>
        <s v="Junior HR Specialist"/>
        <s v="BI Developer"/>
        <s v="Visual Designer"/>
        <s v="Sales Director"/>
        <s v="HR Manager"/>
        <s v="Penetration Tester"/>
        <s v="Content Strategist"/>
        <s v="Credit Analyst"/>
        <s v="Talent Acquisition Lead"/>
        <s v="Android Developer"/>
        <s v="ERP Consultant"/>
        <s v="Compensation Specialist"/>
        <s v="Tableau Developer"/>
        <s v="Marketing Specialist"/>
        <s v="Investment Analyst"/>
        <s v="People Operations"/>
        <s v="Tech Lead"/>
        <s v="CRM Specialist"/>
        <s v="Operations Analyst"/>
        <s v="Junior HR Coordinator"/>
        <s v="Solutions Engineer"/>
        <s v="Growth Marketing Manager"/>
      </sharedItems>
    </cacheField>
    <cacheField name="Department" numFmtId="0">
      <sharedItems count="8">
        <s v="Analytics"/>
        <s v="Human Resources"/>
        <s v="IT"/>
        <s v="Marketing"/>
        <s v="Finance"/>
        <s v="Product"/>
        <s v="Sales"/>
        <s v="Operations"/>
      </sharedItems>
    </cacheField>
    <cacheField name="Application Date" numFmtId="14">
      <sharedItems containsSemiMixedTypes="0" containsNonDate="0" containsDate="1" containsString="0" minDate="2026-01-05T00:00:00" maxDate="2026-07-05T00:00:00" count="120">
        <d v="2026-01-05T00:00:00"/>
        <d v="2026-01-07T00:00:00"/>
        <d v="2026-01-08T00:00:00"/>
        <d v="2026-01-10T00:00:00"/>
        <d v="2026-01-12T00:00:00"/>
        <d v="2026-01-13T00:00:00"/>
        <d v="2026-01-15T00:00:00"/>
        <d v="2026-01-16T00:00:00"/>
        <d v="2026-01-18T00:00:00"/>
        <d v="2026-01-19T00:00:00"/>
        <d v="2026-01-21T00:00:00"/>
        <d v="2026-01-22T00:00:00"/>
        <d v="2026-01-24T00:00:00"/>
        <d v="2026-01-25T00:00:00"/>
        <d v="2026-01-27T00:00:00"/>
        <d v="2026-01-28T00:00:00"/>
        <d v="2026-01-30T00:00:00"/>
        <d v="2026-02-01T00:00:00"/>
        <d v="2026-02-02T00:00:00"/>
        <d v="2026-02-04T00:00:00"/>
        <d v="2026-02-05T00:00:00"/>
        <d v="2026-02-07T00:00:00"/>
        <d v="2026-02-08T00:00:00"/>
        <d v="2026-02-10T00:00:00"/>
        <d v="2026-02-11T00:00:00"/>
        <d v="2026-02-13T00:00:00"/>
        <d v="2026-02-14T00:00:00"/>
        <d v="2026-02-16T00:00:00"/>
        <d v="2026-02-17T00:00:00"/>
        <d v="2026-02-19T00:00:00"/>
        <d v="2026-02-20T00:00:00"/>
        <d v="2026-02-22T00:00:00"/>
        <d v="2026-02-23T00:00:00"/>
        <d v="2026-02-25T00:00:00"/>
        <d v="2026-02-26T00:00:00"/>
        <d v="2026-02-28T00:00:00"/>
        <d v="2026-03-02T00:00:00"/>
        <d v="2026-03-03T00:00:00"/>
        <d v="2026-03-05T00:00:00"/>
        <d v="2026-03-06T00:00:00"/>
        <d v="2026-03-08T00:00:00"/>
        <d v="2026-03-09T00:00:00"/>
        <d v="2026-03-11T00:00:00"/>
        <d v="2026-03-12T00:00:00"/>
        <d v="2026-03-14T00:00:00"/>
        <d v="2026-03-15T00:00:00"/>
        <d v="2026-03-17T00:00:00"/>
        <d v="2026-03-18T00:00:00"/>
        <d v="2026-03-20T00:00:00"/>
        <d v="2026-03-21T00:00:00"/>
        <d v="2026-03-23T00:00:00"/>
        <d v="2026-03-24T00:00:00"/>
        <d v="2026-03-26T00:00:00"/>
        <d v="2026-03-27T00:00:00"/>
        <d v="2026-03-29T00:00:00"/>
        <d v="2026-03-30T00:00:00"/>
        <d v="2026-04-01T00:00:00"/>
        <d v="2026-04-02T00:00:00"/>
        <d v="2026-04-04T00:00:00"/>
        <d v="2026-04-05T00:00:00"/>
        <d v="2026-04-07T00:00:00"/>
        <d v="2026-04-08T00:00:00"/>
        <d v="2026-04-10T00:00:00"/>
        <d v="2026-04-11T00:00:00"/>
        <d v="2026-04-13T00:00:00"/>
        <d v="2026-04-14T00:00:00"/>
        <d v="2026-04-16T00:00:00"/>
        <d v="2026-04-17T00:00:00"/>
        <d v="2026-04-19T00:00:00"/>
        <d v="2026-04-20T00:00:00"/>
        <d v="2026-04-22T00:00:00"/>
        <d v="2026-04-23T00:00:00"/>
        <d v="2026-04-25T00:00:00"/>
        <d v="2026-04-26T00:00:00"/>
        <d v="2026-04-28T00:00:00"/>
        <d v="2026-04-29T00:00:00"/>
        <d v="2026-05-01T00:00:00"/>
        <d v="2026-05-02T00:00:00"/>
        <d v="2026-05-04T00:00:00"/>
        <d v="2026-05-05T00:00:00"/>
        <d v="2026-05-07T00:00:00"/>
        <d v="2026-05-08T00:00:00"/>
        <d v="2026-05-10T00:00:00"/>
        <d v="2026-05-11T00:00:00"/>
        <d v="2026-05-13T00:00:00"/>
        <d v="2026-05-14T00:00:00"/>
        <d v="2026-05-16T00:00:00"/>
        <d v="2026-05-17T00:00:00"/>
        <d v="2026-05-19T00:00:00"/>
        <d v="2026-05-20T00:00:00"/>
        <d v="2026-05-22T00:00:00"/>
        <d v="2026-05-23T00:00:00"/>
        <d v="2026-05-25T00:00:00"/>
        <d v="2026-05-26T00:00:00"/>
        <d v="2026-05-28T00:00:00"/>
        <d v="2026-05-29T00:00:00"/>
        <d v="2026-05-31T00:00:00"/>
        <d v="2026-06-01T00:00:00"/>
        <d v="2026-06-03T00:00:00"/>
        <d v="2026-06-04T00:00:00"/>
        <d v="2026-06-06T00:00:00"/>
        <d v="2026-06-07T00:00:00"/>
        <d v="2026-06-09T00:00:00"/>
        <d v="2026-06-10T00:00:00"/>
        <d v="2026-06-12T00:00:00"/>
        <d v="2026-06-13T00:00:00"/>
        <d v="2026-06-15T00:00:00"/>
        <d v="2026-06-16T00:00:00"/>
        <d v="2026-06-18T00:00:00"/>
        <d v="2026-06-19T00:00:00"/>
        <d v="2026-06-21T00:00:00"/>
        <d v="2026-06-22T00:00:00"/>
        <d v="2026-06-24T00:00:00"/>
        <d v="2026-06-25T00:00:00"/>
        <d v="2026-06-27T00:00:00"/>
        <d v="2026-06-28T00:00:00"/>
        <d v="2026-06-30T00:00:00"/>
        <d v="2026-07-01T00:00:00"/>
        <d v="2026-07-03T00:00:00"/>
        <d v="2026-07-04T00:00:00"/>
      </sharedItems>
      <fieldGroup par="11"/>
    </cacheField>
    <cacheField name="Source" numFmtId="0">
      <sharedItems count="8">
        <s v="LinkedIn"/>
        <s v="Bayt.com"/>
        <s v="Referral"/>
        <s v="Company Website"/>
        <s v="Indeed"/>
        <s v="Behance"/>
        <s v="GitHub Jobs"/>
        <s v="Dribbble"/>
      </sharedItems>
    </cacheField>
    <cacheField name="Stage" numFmtId="0">
      <sharedItems count="7">
        <s v="Offer"/>
        <s v="Interview"/>
        <s v="Technical Test"/>
        <s v="Screening"/>
        <s v="Rejected"/>
        <s v="HR Interview"/>
        <s v="Final Interview"/>
      </sharedItems>
    </cacheField>
    <cacheField name="Interview Score" numFmtId="0">
      <sharedItems containsString="0" containsBlank="1" containsNumber="1" containsInteger="1" minValue="48" maxValue="93"/>
    </cacheField>
    <cacheField name="Expected Salary" numFmtId="3">
      <sharedItems containsSemiMixedTypes="0" containsString="0" containsNumber="1" containsInteger="1" minValue="6500" maxValue="30000"/>
    </cacheField>
    <cacheField name="Status" numFmtId="0">
      <sharedItems count="4">
        <s v="Hired"/>
        <s v="In Progress"/>
        <s v="Rejected"/>
        <s v="Withdrawn"/>
      </sharedItems>
    </cacheField>
    <cacheField name="Days (Application Date)" numFmtId="0" databaseField="0">
      <fieldGroup base="4">
        <rangePr groupBy="days" startDate="2026-01-05T00:00:00" endDate="2026-07-05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7/2026"/>
        </groupItems>
      </fieldGroup>
    </cacheField>
    <cacheField name="Months (Application Date)" numFmtId="0" databaseField="0">
      <fieldGroup base="4">
        <rangePr groupBy="months" startDate="2026-01-05T00:00:00" endDate="2026-07-05T00:00:00"/>
        <groupItems count="14">
          <s v="&lt;05/01/2026"/>
          <s v="Jan"/>
          <s v="Feb"/>
          <s v="Mar"/>
          <s v="Apr"/>
          <s v="May"/>
          <s v="Jun"/>
          <s v="Jul"/>
          <s v="Aug"/>
          <s v="Sep"/>
          <s v="Oct"/>
          <s v="Nov"/>
          <s v="Dec"/>
          <s v="&gt;05/07/2026"/>
        </groupItems>
      </fieldGroup>
    </cacheField>
  </cacheFields>
  <extLst>
    <ext xmlns:x14="http://schemas.microsoft.com/office/spreadsheetml/2009/9/main" uri="{725AE2AE-9491-48be-B2B4-4EB974FC3084}">
      <x14:pivotCacheDefinition pivotCacheId="284603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CAND-1001"/>
    <s v="Abdullah Al-Qahtani"/>
    <x v="0"/>
    <x v="0"/>
    <x v="0"/>
    <x v="0"/>
    <x v="0"/>
    <n v="87"/>
    <n v="14000"/>
    <x v="0"/>
  </r>
  <r>
    <s v="CAND-1002"/>
    <s v="Sara Al-Otaibi"/>
    <x v="1"/>
    <x v="1"/>
    <x v="1"/>
    <x v="1"/>
    <x v="1"/>
    <n v="78"/>
    <n v="11000"/>
    <x v="1"/>
  </r>
  <r>
    <s v="CAND-1003"/>
    <s v="Mohammed Al-Harbi"/>
    <x v="2"/>
    <x v="2"/>
    <x v="2"/>
    <x v="0"/>
    <x v="2"/>
    <n v="82"/>
    <n v="18000"/>
    <x v="1"/>
  </r>
  <r>
    <s v="CAND-1004"/>
    <s v="Noura Al-Shammari"/>
    <x v="3"/>
    <x v="3"/>
    <x v="3"/>
    <x v="2"/>
    <x v="3"/>
    <m/>
    <n v="9500"/>
    <x v="1"/>
  </r>
  <r>
    <s v="CAND-1005"/>
    <s v="Khaled Al-Dosari"/>
    <x v="4"/>
    <x v="4"/>
    <x v="4"/>
    <x v="0"/>
    <x v="4"/>
    <n v="55"/>
    <n v="13000"/>
    <x v="2"/>
  </r>
  <r>
    <s v="CAND-1006"/>
    <s v="Fatimah Al-Zahrani"/>
    <x v="5"/>
    <x v="5"/>
    <x v="5"/>
    <x v="3"/>
    <x v="0"/>
    <n v="90"/>
    <n v="15500"/>
    <x v="0"/>
  </r>
  <r>
    <s v="CAND-1007"/>
    <s v="Yousef Al-Ghamdi"/>
    <x v="6"/>
    <x v="6"/>
    <x v="6"/>
    <x v="4"/>
    <x v="1"/>
    <n v="72"/>
    <n v="10000"/>
    <x v="1"/>
  </r>
  <r>
    <s v="CAND-1008"/>
    <s v="Rana Al-Mutairi"/>
    <x v="7"/>
    <x v="4"/>
    <x v="7"/>
    <x v="1"/>
    <x v="5"/>
    <n v="80"/>
    <n v="11500"/>
    <x v="1"/>
  </r>
  <r>
    <s v="CAND-1009"/>
    <s v="Omar Al-Subaie"/>
    <x v="8"/>
    <x v="7"/>
    <x v="8"/>
    <x v="0"/>
    <x v="0"/>
    <n v="88"/>
    <n v="22000"/>
    <x v="0"/>
  </r>
  <r>
    <s v="CAND-1010"/>
    <s v="Lina Al-Anazi"/>
    <x v="9"/>
    <x v="1"/>
    <x v="9"/>
    <x v="2"/>
    <x v="3"/>
    <n v="68"/>
    <n v="10500"/>
    <x v="1"/>
  </r>
  <r>
    <s v="CAND-1011"/>
    <s v="Faisal Al-Rashidi"/>
    <x v="10"/>
    <x v="2"/>
    <x v="10"/>
    <x v="0"/>
    <x v="2"/>
    <n v="85"/>
    <n v="19000"/>
    <x v="1"/>
  </r>
  <r>
    <s v="CAND-1012"/>
    <s v="Mona Al-Qurashi"/>
    <x v="11"/>
    <x v="3"/>
    <x v="11"/>
    <x v="3"/>
    <x v="4"/>
    <n v="48"/>
    <n v="8500"/>
    <x v="2"/>
  </r>
  <r>
    <s v="CAND-1013"/>
    <s v="Hassan Al-Bishi"/>
    <x v="12"/>
    <x v="0"/>
    <x v="12"/>
    <x v="0"/>
    <x v="0"/>
    <n v="84"/>
    <n v="15000"/>
    <x v="0"/>
  </r>
  <r>
    <s v="CAND-1014"/>
    <s v="Aisha Al-Faraj"/>
    <x v="13"/>
    <x v="7"/>
    <x v="13"/>
    <x v="1"/>
    <x v="1"/>
    <n v="70"/>
    <n v="7500"/>
    <x v="1"/>
  </r>
  <r>
    <s v="CAND-1015"/>
    <s v="Bandar Al-Mansour"/>
    <x v="14"/>
    <x v="6"/>
    <x v="14"/>
    <x v="0"/>
    <x v="6"/>
    <n v="86"/>
    <n v="21000"/>
    <x v="1"/>
  </r>
  <r>
    <s v="CAND-1016"/>
    <s v="Reem Al-Saleh"/>
    <x v="15"/>
    <x v="3"/>
    <x v="15"/>
    <x v="5"/>
    <x v="1"/>
    <n v="79"/>
    <n v="10500"/>
    <x v="1"/>
  </r>
  <r>
    <s v="CAND-1017"/>
    <s v="Salem Al-Otaibi"/>
    <x v="16"/>
    <x v="0"/>
    <x v="16"/>
    <x v="0"/>
    <x v="2"/>
    <n v="83"/>
    <n v="17500"/>
    <x v="1"/>
  </r>
  <r>
    <s v="CAND-1018"/>
    <s v="Hind Al-Dossari"/>
    <x v="17"/>
    <x v="1"/>
    <x v="17"/>
    <x v="2"/>
    <x v="0"/>
    <n v="89"/>
    <n v="13500"/>
    <x v="0"/>
  </r>
  <r>
    <s v="CAND-1019"/>
    <s v="Turki Al-Qahtani"/>
    <x v="18"/>
    <x v="2"/>
    <x v="18"/>
    <x v="4"/>
    <x v="4"/>
    <n v="52"/>
    <n v="14000"/>
    <x v="2"/>
  </r>
  <r>
    <s v="CAND-1020"/>
    <s v="Maha Al-Harbi"/>
    <x v="19"/>
    <x v="7"/>
    <x v="19"/>
    <x v="1"/>
    <x v="3"/>
    <n v="65"/>
    <n v="7000"/>
    <x v="1"/>
  </r>
  <r>
    <s v="CAND-1021"/>
    <s v="Ahmed Al-Zahrani"/>
    <x v="20"/>
    <x v="7"/>
    <x v="20"/>
    <x v="0"/>
    <x v="5"/>
    <n v="76"/>
    <n v="12000"/>
    <x v="1"/>
  </r>
  <r>
    <s v="CAND-1022"/>
    <s v="Dalal Al-Shehri"/>
    <x v="21"/>
    <x v="3"/>
    <x v="21"/>
    <x v="0"/>
    <x v="0"/>
    <n v="91"/>
    <n v="20000"/>
    <x v="0"/>
  </r>
  <r>
    <s v="CAND-1023"/>
    <s v="Ibrahim Al-Mutairi"/>
    <x v="22"/>
    <x v="2"/>
    <x v="22"/>
    <x v="6"/>
    <x v="2"/>
    <n v="81"/>
    <n v="16000"/>
    <x v="1"/>
  </r>
  <r>
    <s v="CAND-1024"/>
    <s v="Wafa Al-Ghamdi"/>
    <x v="23"/>
    <x v="1"/>
    <x v="23"/>
    <x v="1"/>
    <x v="1"/>
    <n v="74"/>
    <n v="11000"/>
    <x v="1"/>
  </r>
  <r>
    <s v="CAND-1025"/>
    <s v="Sultan Al-Anazi"/>
    <x v="24"/>
    <x v="7"/>
    <x v="24"/>
    <x v="0"/>
    <x v="6"/>
    <n v="87"/>
    <n v="23000"/>
    <x v="1"/>
  </r>
  <r>
    <s v="CAND-1026"/>
    <s v="Latifah Al-Qurashi"/>
    <x v="25"/>
    <x v="4"/>
    <x v="25"/>
    <x v="4"/>
    <x v="4"/>
    <n v="50"/>
    <n v="8000"/>
    <x v="2"/>
  </r>
  <r>
    <s v="CAND-1027"/>
    <s v="Nawaf Al-Dosari"/>
    <x v="26"/>
    <x v="2"/>
    <x v="26"/>
    <x v="0"/>
    <x v="0"/>
    <n v="93"/>
    <n v="28000"/>
    <x v="0"/>
  </r>
  <r>
    <s v="CAND-1028"/>
    <s v="Shaden Al-Subaie"/>
    <x v="27"/>
    <x v="1"/>
    <x v="27"/>
    <x v="2"/>
    <x v="1"/>
    <n v="82"/>
    <n v="16500"/>
    <x v="1"/>
  </r>
  <r>
    <s v="CAND-1029"/>
    <s v="Majed Al-Bishi"/>
    <x v="6"/>
    <x v="6"/>
    <x v="28"/>
    <x v="1"/>
    <x v="3"/>
    <n v="67"/>
    <n v="9500"/>
    <x v="1"/>
  </r>
  <r>
    <s v="CAND-1030"/>
    <s v="Hala Al-Faraj"/>
    <x v="28"/>
    <x v="5"/>
    <x v="29"/>
    <x v="7"/>
    <x v="2"/>
    <n v="80"/>
    <n v="14000"/>
    <x v="1"/>
  </r>
  <r>
    <s v="CAND-1031"/>
    <s v="Rakan Al-Mansour"/>
    <x v="29"/>
    <x v="4"/>
    <x v="30"/>
    <x v="0"/>
    <x v="6"/>
    <n v="88"/>
    <n v="25000"/>
    <x v="1"/>
  </r>
  <r>
    <s v="CAND-1032"/>
    <s v="Amal Al-Saleh"/>
    <x v="30"/>
    <x v="3"/>
    <x v="31"/>
    <x v="3"/>
    <x v="1"/>
    <n v="75"/>
    <n v="9000"/>
    <x v="1"/>
  </r>
  <r>
    <s v="CAND-1033"/>
    <s v="Waleed Al-Otaibi"/>
    <x v="31"/>
    <x v="2"/>
    <x v="32"/>
    <x v="0"/>
    <x v="0"/>
    <n v="86"/>
    <n v="17500"/>
    <x v="0"/>
  </r>
  <r>
    <s v="CAND-1034"/>
    <s v="Ghada Al-Harbi"/>
    <x v="32"/>
    <x v="7"/>
    <x v="33"/>
    <x v="1"/>
    <x v="5"/>
    <n v="77"/>
    <n v="10500"/>
    <x v="1"/>
  </r>
  <r>
    <s v="CAND-1035"/>
    <s v="Saad Al-Zahrani"/>
    <x v="33"/>
    <x v="0"/>
    <x v="34"/>
    <x v="0"/>
    <x v="2"/>
    <n v="89"/>
    <n v="21000"/>
    <x v="1"/>
  </r>
  <r>
    <s v="CAND-1036"/>
    <s v="Norah Al-Shammari"/>
    <x v="34"/>
    <x v="1"/>
    <x v="35"/>
    <x v="2"/>
    <x v="4"/>
    <n v="58"/>
    <n v="10000"/>
    <x v="2"/>
  </r>
  <r>
    <s v="CAND-1037"/>
    <s v="Fahad Al-Qahtani"/>
    <x v="35"/>
    <x v="2"/>
    <x v="36"/>
    <x v="0"/>
    <x v="1"/>
    <n v="78"/>
    <n v="13500"/>
    <x v="1"/>
  </r>
  <r>
    <s v="CAND-1038"/>
    <s v="Sumaya Al-Dosari"/>
    <x v="36"/>
    <x v="3"/>
    <x v="37"/>
    <x v="0"/>
    <x v="0"/>
    <n v="90"/>
    <n v="19000"/>
    <x v="0"/>
  </r>
  <r>
    <s v="CAND-1039"/>
    <s v="Talal Al-Ghamdi"/>
    <x v="37"/>
    <x v="4"/>
    <x v="38"/>
    <x v="1"/>
    <x v="6"/>
    <n v="84"/>
    <n v="17000"/>
    <x v="1"/>
  </r>
  <r>
    <s v="CAND-1040"/>
    <s v="Bushra Al-Mutairi"/>
    <x v="38"/>
    <x v="1"/>
    <x v="39"/>
    <x v="3"/>
    <x v="3"/>
    <n v="66"/>
    <n v="8500"/>
    <x v="1"/>
  </r>
  <r>
    <s v="CAND-1041"/>
    <s v="Naif Al-Anazi"/>
    <x v="39"/>
    <x v="2"/>
    <x v="40"/>
    <x v="0"/>
    <x v="2"/>
    <n v="82"/>
    <n v="16500"/>
    <x v="1"/>
  </r>
  <r>
    <s v="CAND-1042"/>
    <s v="Asma Al-Qurashi"/>
    <x v="40"/>
    <x v="7"/>
    <x v="41"/>
    <x v="4"/>
    <x v="1"/>
    <n v="70"/>
    <n v="6500"/>
    <x v="1"/>
  </r>
  <r>
    <s v="CAND-1043"/>
    <s v="Khalifah Al-Subaie"/>
    <x v="41"/>
    <x v="2"/>
    <x v="42"/>
    <x v="0"/>
    <x v="0"/>
    <n v="92"/>
    <n v="27000"/>
    <x v="0"/>
  </r>
  <r>
    <s v="CAND-1044"/>
    <s v="Rawan Al-Bishi"/>
    <x v="42"/>
    <x v="3"/>
    <x v="43"/>
    <x v="0"/>
    <x v="4"/>
    <n v="54"/>
    <n v="10000"/>
    <x v="2"/>
  </r>
  <r>
    <s v="CAND-1045"/>
    <s v="Mansour Al-Faraj"/>
    <x v="43"/>
    <x v="6"/>
    <x v="44"/>
    <x v="2"/>
    <x v="1"/>
    <n v="79"/>
    <n v="14000"/>
    <x v="1"/>
  </r>
  <r>
    <s v="CAND-1046"/>
    <s v="Tala Al-Mansour"/>
    <x v="44"/>
    <x v="1"/>
    <x v="45"/>
    <x v="0"/>
    <x v="5"/>
    <n v="81"/>
    <n v="13000"/>
    <x v="1"/>
  </r>
  <r>
    <s v="CAND-1047"/>
    <s v="Hamad Al-Saleh"/>
    <x v="45"/>
    <x v="2"/>
    <x v="46"/>
    <x v="1"/>
    <x v="2"/>
    <n v="83"/>
    <n v="16000"/>
    <x v="1"/>
  </r>
  <r>
    <s v="CAND-1048"/>
    <s v="Jood Al-Otaibi"/>
    <x v="46"/>
    <x v="3"/>
    <x v="47"/>
    <x v="3"/>
    <x v="3"/>
    <m/>
    <n v="8000"/>
    <x v="3"/>
  </r>
  <r>
    <s v="CAND-1049"/>
    <s v="Saleh Al-Harbi"/>
    <x v="47"/>
    <x v="4"/>
    <x v="48"/>
    <x v="0"/>
    <x v="0"/>
    <n v="85"/>
    <n v="16500"/>
    <x v="0"/>
  </r>
  <r>
    <s v="CAND-1050"/>
    <s v="Sana Al-Zahrani"/>
    <x v="48"/>
    <x v="1"/>
    <x v="49"/>
    <x v="2"/>
    <x v="1"/>
    <n v="77"/>
    <n v="12500"/>
    <x v="1"/>
  </r>
  <r>
    <s v="CAND-1051"/>
    <s v="Ziyad Al-Shammari"/>
    <x v="49"/>
    <x v="2"/>
    <x v="50"/>
    <x v="0"/>
    <x v="6"/>
    <n v="88"/>
    <n v="20000"/>
    <x v="1"/>
  </r>
  <r>
    <s v="CAND-1052"/>
    <s v="Lujain Al-Qahtani"/>
    <x v="50"/>
    <x v="3"/>
    <x v="51"/>
    <x v="5"/>
    <x v="4"/>
    <n v="49"/>
    <n v="7500"/>
    <x v="2"/>
  </r>
  <r>
    <s v="CAND-1053"/>
    <s v="Bader Al-Dosari"/>
    <x v="51"/>
    <x v="7"/>
    <x v="52"/>
    <x v="0"/>
    <x v="1"/>
    <n v="76"/>
    <n v="12500"/>
    <x v="1"/>
  </r>
  <r>
    <s v="CAND-1054"/>
    <s v="Nada Al-Ghamdi"/>
    <x v="52"/>
    <x v="1"/>
    <x v="53"/>
    <x v="1"/>
    <x v="0"/>
    <n v="83"/>
    <n v="11000"/>
    <x v="0"/>
  </r>
  <r>
    <s v="CAND-1055"/>
    <s v="Yazid Al-Mutairi"/>
    <x v="53"/>
    <x v="2"/>
    <x v="54"/>
    <x v="0"/>
    <x v="2"/>
    <n v="85"/>
    <n v="18000"/>
    <x v="1"/>
  </r>
  <r>
    <s v="CAND-1056"/>
    <s v="Raghad Al-Anazi"/>
    <x v="54"/>
    <x v="3"/>
    <x v="55"/>
    <x v="0"/>
    <x v="5"/>
    <n v="78"/>
    <n v="11500"/>
    <x v="1"/>
  </r>
  <r>
    <s v="CAND-1057"/>
    <s v="Mishal Al-Qurashi"/>
    <x v="55"/>
    <x v="7"/>
    <x v="56"/>
    <x v="4"/>
    <x v="3"/>
    <n v="64"/>
    <n v="8500"/>
    <x v="1"/>
  </r>
  <r>
    <s v="CAND-1058"/>
    <s v="Areej Al-Subaie"/>
    <x v="56"/>
    <x v="4"/>
    <x v="57"/>
    <x v="0"/>
    <x v="1"/>
    <n v="80"/>
    <n v="14000"/>
    <x v="1"/>
  </r>
  <r>
    <s v="CAND-1059"/>
    <s v="Abdulrahman Al-Bishi"/>
    <x v="57"/>
    <x v="5"/>
    <x v="58"/>
    <x v="0"/>
    <x v="0"/>
    <n v="91"/>
    <n v="24000"/>
    <x v="0"/>
  </r>
  <r>
    <s v="CAND-1060"/>
    <s v="Manal Al-Faraj"/>
    <x v="58"/>
    <x v="7"/>
    <x v="59"/>
    <x v="2"/>
    <x v="6"/>
    <n v="82"/>
    <n v="12000"/>
    <x v="1"/>
  </r>
  <r>
    <s v="CAND-1061"/>
    <s v="Khalid Al-Mansour"/>
    <x v="59"/>
    <x v="2"/>
    <x v="60"/>
    <x v="0"/>
    <x v="4"/>
    <n v="56"/>
    <n v="15000"/>
    <x v="2"/>
  </r>
  <r>
    <s v="CAND-1062"/>
    <s v="Reema Al-Saleh"/>
    <x v="60"/>
    <x v="3"/>
    <x v="61"/>
    <x v="3"/>
    <x v="1"/>
    <n v="74"/>
    <n v="10500"/>
    <x v="1"/>
  </r>
  <r>
    <s v="CAND-1063"/>
    <s v="Tariq Al-Otaibi"/>
    <x v="61"/>
    <x v="6"/>
    <x v="62"/>
    <x v="1"/>
    <x v="3"/>
    <n v="68"/>
    <n v="8500"/>
    <x v="1"/>
  </r>
  <r>
    <s v="CAND-1064"/>
    <s v="Hessa Al-Harbi"/>
    <x v="62"/>
    <x v="1"/>
    <x v="63"/>
    <x v="0"/>
    <x v="0"/>
    <n v="86"/>
    <n v="14500"/>
    <x v="0"/>
  </r>
  <r>
    <s v="CAND-1065"/>
    <s v="Mazen Al-Zahrani"/>
    <x v="63"/>
    <x v="2"/>
    <x v="64"/>
    <x v="0"/>
    <x v="2"/>
    <n v="84"/>
    <n v="19500"/>
    <x v="1"/>
  </r>
  <r>
    <s v="CAND-1066"/>
    <s v="Lubna Al-Shammari"/>
    <x v="64"/>
    <x v="3"/>
    <x v="65"/>
    <x v="2"/>
    <x v="1"/>
    <n v="76"/>
    <n v="9500"/>
    <x v="1"/>
  </r>
  <r>
    <s v="CAND-1067"/>
    <s v="Sami Al-Qahtani"/>
    <x v="65"/>
    <x v="4"/>
    <x v="66"/>
    <x v="0"/>
    <x v="5"/>
    <n v="79"/>
    <n v="15500"/>
    <x v="1"/>
  </r>
  <r>
    <s v="CAND-1068"/>
    <s v="Atheer Al-Dosari"/>
    <x v="66"/>
    <x v="1"/>
    <x v="67"/>
    <x v="1"/>
    <x v="3"/>
    <m/>
    <n v="9000"/>
    <x v="3"/>
  </r>
  <r>
    <s v="CAND-1069"/>
    <s v="Nasser Al-Ghamdi"/>
    <x v="67"/>
    <x v="0"/>
    <x v="68"/>
    <x v="0"/>
    <x v="0"/>
    <n v="93"/>
    <n v="24000"/>
    <x v="0"/>
  </r>
  <r>
    <s v="CAND-1070"/>
    <s v="Wejdan Al-Mutairi"/>
    <x v="68"/>
    <x v="3"/>
    <x v="69"/>
    <x v="3"/>
    <x v="6"/>
    <n v="87"/>
    <n v="17000"/>
    <x v="1"/>
  </r>
  <r>
    <s v="CAND-1071"/>
    <s v="Faris Al-Anazi"/>
    <x v="69"/>
    <x v="2"/>
    <x v="70"/>
    <x v="0"/>
    <x v="4"/>
    <n v="53"/>
    <n v="13500"/>
    <x v="2"/>
  </r>
  <r>
    <s v="CAND-1072"/>
    <s v="Joud Al-Qurashi"/>
    <x v="70"/>
    <x v="1"/>
    <x v="71"/>
    <x v="2"/>
    <x v="1"/>
    <n v="77"/>
    <n v="11000"/>
    <x v="1"/>
  </r>
  <r>
    <s v="CAND-1073"/>
    <s v="Anas Al-Subaie"/>
    <x v="71"/>
    <x v="6"/>
    <x v="72"/>
    <x v="0"/>
    <x v="2"/>
    <n v="81"/>
    <n v="16000"/>
    <x v="1"/>
  </r>
  <r>
    <s v="CAND-1074"/>
    <s v="Maram Al-Bishi"/>
    <x v="72"/>
    <x v="4"/>
    <x v="73"/>
    <x v="1"/>
    <x v="0"/>
    <n v="85"/>
    <n v="15500"/>
    <x v="0"/>
  </r>
  <r>
    <s v="CAND-1075"/>
    <s v="Ayman Al-Faraj"/>
    <x v="73"/>
    <x v="2"/>
    <x v="74"/>
    <x v="4"/>
    <x v="3"/>
    <n v="63"/>
    <n v="8000"/>
    <x v="1"/>
  </r>
  <r>
    <s v="CAND-1076"/>
    <s v="Rasha Al-Mansour"/>
    <x v="74"/>
    <x v="5"/>
    <x v="75"/>
    <x v="7"/>
    <x v="1"/>
    <n v="82"/>
    <n v="15000"/>
    <x v="1"/>
  </r>
  <r>
    <s v="CAND-1077"/>
    <s v="Mutlaq Al-Saleh"/>
    <x v="75"/>
    <x v="7"/>
    <x v="76"/>
    <x v="0"/>
    <x v="6"/>
    <n v="86"/>
    <n v="19500"/>
    <x v="1"/>
  </r>
  <r>
    <s v="CAND-1078"/>
    <s v="Sireen Al-Otaibi"/>
    <x v="76"/>
    <x v="3"/>
    <x v="77"/>
    <x v="3"/>
    <x v="4"/>
    <n v="51"/>
    <n v="8000"/>
    <x v="2"/>
  </r>
  <r>
    <s v="CAND-1079"/>
    <s v="Raed Al-Harbi"/>
    <x v="0"/>
    <x v="0"/>
    <x v="78"/>
    <x v="0"/>
    <x v="0"/>
    <n v="88"/>
    <n v="14500"/>
    <x v="0"/>
  </r>
  <r>
    <s v="CAND-1080"/>
    <s v="Bayan Al-Zahrani"/>
    <x v="77"/>
    <x v="1"/>
    <x v="79"/>
    <x v="2"/>
    <x v="5"/>
    <n v="80"/>
    <n v="14000"/>
    <x v="1"/>
  </r>
  <r>
    <s v="CAND-1081"/>
    <s v="Hussam Al-Shammari"/>
    <x v="22"/>
    <x v="2"/>
    <x v="80"/>
    <x v="0"/>
    <x v="2"/>
    <n v="83"/>
    <n v="16500"/>
    <x v="1"/>
  </r>
  <r>
    <s v="CAND-1082"/>
    <s v="Daliah Al-Qahtani"/>
    <x v="78"/>
    <x v="7"/>
    <x v="81"/>
    <x v="1"/>
    <x v="1"/>
    <n v="69"/>
    <n v="7000"/>
    <x v="1"/>
  </r>
  <r>
    <s v="CAND-1083"/>
    <s v="Meshal Al-Dosari"/>
    <x v="79"/>
    <x v="4"/>
    <x v="82"/>
    <x v="0"/>
    <x v="0"/>
    <n v="87"/>
    <n v="17500"/>
    <x v="0"/>
  </r>
  <r>
    <s v="CAND-1084"/>
    <s v="Aljohara Al-Ghamdi"/>
    <x v="80"/>
    <x v="1"/>
    <x v="83"/>
    <x v="3"/>
    <x v="3"/>
    <n v="67"/>
    <n v="9500"/>
    <x v="1"/>
  </r>
  <r>
    <s v="CAND-1085"/>
    <s v="Fawaz Al-Mutairi"/>
    <x v="81"/>
    <x v="2"/>
    <x v="84"/>
    <x v="0"/>
    <x v="6"/>
    <n v="85"/>
    <n v="18500"/>
    <x v="1"/>
  </r>
  <r>
    <s v="CAND-1086"/>
    <s v="Rita Al-Anazi"/>
    <x v="82"/>
    <x v="3"/>
    <x v="85"/>
    <x v="0"/>
    <x v="1"/>
    <n v="78"/>
    <n v="11500"/>
    <x v="1"/>
  </r>
  <r>
    <s v="CAND-1087"/>
    <s v="Abdulaziz Al-Qurashi"/>
    <x v="83"/>
    <x v="4"/>
    <x v="86"/>
    <x v="1"/>
    <x v="4"/>
    <n v="57"/>
    <n v="18000"/>
    <x v="2"/>
  </r>
  <r>
    <s v="CAND-1088"/>
    <s v="Sadeem Al-Subaie"/>
    <x v="84"/>
    <x v="1"/>
    <x v="87"/>
    <x v="2"/>
    <x v="0"/>
    <n v="82"/>
    <n v="11500"/>
    <x v="0"/>
  </r>
  <r>
    <s v="CAND-1089"/>
    <s v="Hatim Al-Bishi"/>
    <x v="85"/>
    <x v="0"/>
    <x v="88"/>
    <x v="0"/>
    <x v="2"/>
    <n v="90"/>
    <n v="22000"/>
    <x v="1"/>
  </r>
  <r>
    <s v="CAND-1090"/>
    <s v="Bashayer Al-Faraj"/>
    <x v="86"/>
    <x v="3"/>
    <x v="89"/>
    <x v="3"/>
    <x v="5"/>
    <n v="79"/>
    <n v="11000"/>
    <x v="1"/>
  </r>
  <r>
    <s v="CAND-1091"/>
    <s v="Mohannad Al-Mansour"/>
    <x v="87"/>
    <x v="6"/>
    <x v="90"/>
    <x v="4"/>
    <x v="3"/>
    <n v="66"/>
    <n v="9000"/>
    <x v="1"/>
  </r>
  <r>
    <s v="CAND-1092"/>
    <s v="Wateen Al-Saleh"/>
    <x v="88"/>
    <x v="5"/>
    <x v="91"/>
    <x v="0"/>
    <x v="1"/>
    <n v="84"/>
    <n v="15500"/>
    <x v="1"/>
  </r>
  <r>
    <s v="CAND-1093"/>
    <s v="Yasser Al-Otaibi"/>
    <x v="89"/>
    <x v="2"/>
    <x v="92"/>
    <x v="0"/>
    <x v="0"/>
    <n v="89"/>
    <n v="23000"/>
    <x v="0"/>
  </r>
  <r>
    <s v="CAND-1094"/>
    <s v="Razan Al-Harbi"/>
    <x v="90"/>
    <x v="1"/>
    <x v="93"/>
    <x v="1"/>
    <x v="6"/>
    <n v="83"/>
    <n v="14500"/>
    <x v="1"/>
  </r>
  <r>
    <s v="CAND-1095"/>
    <s v="Hazem Al-Zahrani"/>
    <x v="0"/>
    <x v="0"/>
    <x v="94"/>
    <x v="0"/>
    <x v="4"/>
    <n v="54"/>
    <n v="13000"/>
    <x v="2"/>
  </r>
  <r>
    <s v="CAND-1096"/>
    <s v="Mai Al-Shammari"/>
    <x v="91"/>
    <x v="3"/>
    <x v="95"/>
    <x v="0"/>
    <x v="6"/>
    <n v="92"/>
    <n v="30000"/>
    <x v="1"/>
  </r>
  <r>
    <s v="CAND-1097"/>
    <s v="Adel Al-Qahtani"/>
    <x v="92"/>
    <x v="2"/>
    <x v="96"/>
    <x v="4"/>
    <x v="1"/>
    <n v="71"/>
    <n v="8500"/>
    <x v="1"/>
  </r>
  <r>
    <s v="CAND-1098"/>
    <s v="Salma Al-Dosari"/>
    <x v="93"/>
    <x v="1"/>
    <x v="97"/>
    <x v="3"/>
    <x v="3"/>
    <n v="65"/>
    <n v="8500"/>
    <x v="1"/>
  </r>
  <r>
    <s v="CAND-1099"/>
    <s v="Bassam Al-Ghamdi"/>
    <x v="94"/>
    <x v="0"/>
    <x v="98"/>
    <x v="0"/>
    <x v="0"/>
    <n v="87"/>
    <n v="18500"/>
    <x v="0"/>
  </r>
  <r>
    <s v="CAND-1100"/>
    <s v="Tasneem Al-Mutairi"/>
    <x v="95"/>
    <x v="5"/>
    <x v="99"/>
    <x v="5"/>
    <x v="2"/>
    <n v="81"/>
    <n v="13500"/>
    <x v="1"/>
  </r>
  <r>
    <s v="CAND-1101"/>
    <s v="Saud Al-Anazi"/>
    <x v="96"/>
    <x v="6"/>
    <x v="100"/>
    <x v="0"/>
    <x v="6"/>
    <n v="90"/>
    <n v="28000"/>
    <x v="1"/>
  </r>
  <r>
    <s v="CAND-1102"/>
    <s v="Lara Al-Qurashi"/>
    <x v="97"/>
    <x v="1"/>
    <x v="101"/>
    <x v="2"/>
    <x v="0"/>
    <n v="89"/>
    <n v="22000"/>
    <x v="0"/>
  </r>
  <r>
    <s v="CAND-1103"/>
    <s v="Walid Al-Subaie"/>
    <x v="98"/>
    <x v="2"/>
    <x v="102"/>
    <x v="0"/>
    <x v="2"/>
    <n v="86"/>
    <n v="20000"/>
    <x v="1"/>
  </r>
  <r>
    <s v="CAND-1104"/>
    <s v="Ghaida Al-Bishi"/>
    <x v="99"/>
    <x v="3"/>
    <x v="103"/>
    <x v="3"/>
    <x v="1"/>
    <n v="80"/>
    <n v="12500"/>
    <x v="1"/>
  </r>
  <r>
    <s v="CAND-1105"/>
    <s v="Ammar Al-Faraj"/>
    <x v="100"/>
    <x v="4"/>
    <x v="104"/>
    <x v="1"/>
    <x v="5"/>
    <n v="77"/>
    <n v="13000"/>
    <x v="1"/>
  </r>
  <r>
    <s v="CAND-1106"/>
    <s v="Reefan Al-Mansour"/>
    <x v="101"/>
    <x v="1"/>
    <x v="105"/>
    <x v="0"/>
    <x v="6"/>
    <n v="88"/>
    <n v="18000"/>
    <x v="1"/>
  </r>
  <r>
    <s v="CAND-1107"/>
    <s v="Khaled Al-Saleh"/>
    <x v="102"/>
    <x v="2"/>
    <x v="106"/>
    <x v="0"/>
    <x v="4"/>
    <n v="55"/>
    <n v="16000"/>
    <x v="2"/>
  </r>
  <r>
    <s v="CAND-1108"/>
    <s v="Nouf Al-Otaibi"/>
    <x v="3"/>
    <x v="3"/>
    <x v="107"/>
    <x v="4"/>
    <x v="3"/>
    <m/>
    <n v="8500"/>
    <x v="3"/>
  </r>
  <r>
    <s v="CAND-1109"/>
    <s v="Turki Al-Harbi"/>
    <x v="103"/>
    <x v="2"/>
    <x v="108"/>
    <x v="0"/>
    <x v="0"/>
    <n v="88"/>
    <n v="22000"/>
    <x v="0"/>
  </r>
  <r>
    <s v="CAND-1110"/>
    <s v="Shahad Al-Zahrani"/>
    <x v="104"/>
    <x v="1"/>
    <x v="109"/>
    <x v="1"/>
    <x v="1"/>
    <n v="76"/>
    <n v="12000"/>
    <x v="1"/>
  </r>
  <r>
    <s v="CAND-1111"/>
    <s v="Hisham Al-Shammari"/>
    <x v="105"/>
    <x v="0"/>
    <x v="110"/>
    <x v="0"/>
    <x v="2"/>
    <n v="84"/>
    <n v="17000"/>
    <x v="1"/>
  </r>
  <r>
    <s v="CAND-1112"/>
    <s v="Dana Al-Qahtani"/>
    <x v="106"/>
    <x v="3"/>
    <x v="111"/>
    <x v="2"/>
    <x v="5"/>
    <n v="78"/>
    <n v="10500"/>
    <x v="1"/>
  </r>
  <r>
    <s v="CAND-1113"/>
    <s v="Mohammed Al-Dosari"/>
    <x v="107"/>
    <x v="4"/>
    <x v="112"/>
    <x v="0"/>
    <x v="0"/>
    <n v="86"/>
    <n v="17500"/>
    <x v="0"/>
  </r>
  <r>
    <s v="CAND-1114"/>
    <s v="Aljawhara Al-Ghamdi"/>
    <x v="108"/>
    <x v="1"/>
    <x v="113"/>
    <x v="3"/>
    <x v="3"/>
    <n v="68"/>
    <n v="10000"/>
    <x v="1"/>
  </r>
  <r>
    <s v="CAND-1115"/>
    <s v="Rayan Al-Mutairi"/>
    <x v="109"/>
    <x v="2"/>
    <x v="114"/>
    <x v="0"/>
    <x v="6"/>
    <n v="91"/>
    <n v="27000"/>
    <x v="1"/>
  </r>
  <r>
    <s v="CAND-1116"/>
    <s v="Mawaddah Al-Anazi"/>
    <x v="110"/>
    <x v="3"/>
    <x v="115"/>
    <x v="0"/>
    <x v="1"/>
    <n v="79"/>
    <n v="11500"/>
    <x v="1"/>
  </r>
  <r>
    <s v="CAND-1117"/>
    <s v="Sultan Al-Qurashi"/>
    <x v="111"/>
    <x v="7"/>
    <x v="116"/>
    <x v="1"/>
    <x v="4"/>
    <n v="52"/>
    <n v="11000"/>
    <x v="2"/>
  </r>
  <r>
    <s v="CAND-1118"/>
    <s v="Renad Al-Subaie"/>
    <x v="112"/>
    <x v="1"/>
    <x v="117"/>
    <x v="4"/>
    <x v="3"/>
    <n v="64"/>
    <n v="8000"/>
    <x v="1"/>
  </r>
  <r>
    <s v="CAND-1119"/>
    <s v="Ahmad Al-Bishi"/>
    <x v="113"/>
    <x v="2"/>
    <x v="118"/>
    <x v="0"/>
    <x v="0"/>
    <n v="87"/>
    <n v="21000"/>
    <x v="0"/>
  </r>
  <r>
    <s v="CAND-1120"/>
    <s v="Layan Al-Faraj"/>
    <x v="114"/>
    <x v="3"/>
    <x v="119"/>
    <x v="0"/>
    <x v="6"/>
    <n v="89"/>
    <n v="195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95171-9068-46E4-AE9D-600B61B35D17}"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71:F81" firstHeaderRow="1" firstDataRow="2" firstDataCol="1"/>
  <pivotFields count="12">
    <pivotField dataField="1" showAll="0"/>
    <pivotField showAll="0"/>
    <pivotField showAll="0"/>
    <pivotField showAll="0">
      <items count="9">
        <item x="0"/>
        <item x="4"/>
        <item x="1"/>
        <item x="2"/>
        <item x="3"/>
        <item x="7"/>
        <item x="5"/>
        <item x="6"/>
        <item t="default"/>
      </items>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sortType="descending">
      <items count="9">
        <item x="1"/>
        <item x="5"/>
        <item x="3"/>
        <item x="7"/>
        <item x="6"/>
        <item x="4"/>
        <item x="0"/>
        <item x="2"/>
        <item t="default"/>
      </items>
      <autoSortScope>
        <pivotArea dataOnly="0" outline="0" fieldPosition="0">
          <references count="1">
            <reference field="4294967294" count="1" selected="0">
              <x v="0"/>
            </reference>
          </references>
        </pivotArea>
      </autoSortScope>
    </pivotField>
    <pivotField showAll="0">
      <items count="8">
        <item x="6"/>
        <item x="5"/>
        <item x="1"/>
        <item x="0"/>
        <item x="4"/>
        <item x="3"/>
        <item x="2"/>
        <item t="default"/>
      </items>
    </pivotField>
    <pivotField showAll="0"/>
    <pivotField numFmtId="3" showAll="0"/>
    <pivotField axis="axisCol"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v="6"/>
    </i>
    <i>
      <x/>
    </i>
    <i>
      <x v="7"/>
    </i>
    <i>
      <x v="2"/>
    </i>
    <i>
      <x v="5"/>
    </i>
    <i>
      <x v="1"/>
    </i>
    <i>
      <x v="3"/>
    </i>
    <i>
      <x v="4"/>
    </i>
    <i t="grand">
      <x/>
    </i>
  </rowItems>
  <colFields count="1">
    <field x="9"/>
  </colFields>
  <colItems count="5">
    <i>
      <x/>
    </i>
    <i>
      <x v="1"/>
    </i>
    <i>
      <x v="2"/>
    </i>
    <i>
      <x v="3"/>
    </i>
    <i t="grand">
      <x/>
    </i>
  </colItems>
  <dataFields count="1">
    <dataField name="Count of Candidate ID" fld="0" subtotal="count" baseField="0" baseItem="0"/>
  </dataFields>
  <chartFormats count="20">
    <chartFormat chart="15"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23" series="1">
      <pivotArea type="data" outline="0" fieldPosition="0">
        <references count="2">
          <reference field="4294967294" count="1" selected="0">
            <x v="0"/>
          </reference>
          <reference field="9" count="1" selected="0">
            <x v="1"/>
          </reference>
        </references>
      </pivotArea>
    </chartFormat>
    <chartFormat chart="40" format="24" series="1">
      <pivotArea type="data" outline="0" fieldPosition="0">
        <references count="2">
          <reference field="4294967294" count="1" selected="0">
            <x v="0"/>
          </reference>
          <reference field="9" count="1" selected="0">
            <x v="2"/>
          </reference>
        </references>
      </pivotArea>
    </chartFormat>
    <chartFormat chart="40" format="25" series="1">
      <pivotArea type="data" outline="0" fieldPosition="0">
        <references count="2">
          <reference field="4294967294" count="1" selected="0">
            <x v="0"/>
          </reference>
          <reference field="9" count="1" selected="0">
            <x v="3"/>
          </reference>
        </references>
      </pivotArea>
    </chartFormat>
    <chartFormat chart="35" format="23" series="1">
      <pivotArea type="data" outline="0" fieldPosition="0">
        <references count="2">
          <reference field="4294967294" count="1" selected="0">
            <x v="0"/>
          </reference>
          <reference field="9" count="1" selected="0">
            <x v="1"/>
          </reference>
        </references>
      </pivotArea>
    </chartFormat>
    <chartFormat chart="35" format="24" series="1">
      <pivotArea type="data" outline="0" fieldPosition="0">
        <references count="2">
          <reference field="4294967294" count="1" selected="0">
            <x v="0"/>
          </reference>
          <reference field="9" count="1" selected="0">
            <x v="2"/>
          </reference>
        </references>
      </pivotArea>
    </chartFormat>
    <chartFormat chart="35" format="25" series="1">
      <pivotArea type="data" outline="0" fieldPosition="0">
        <references count="2">
          <reference field="4294967294" count="1" selected="0">
            <x v="0"/>
          </reference>
          <reference field="9" count="1" selected="0">
            <x v="3"/>
          </reference>
        </references>
      </pivotArea>
    </chartFormat>
    <chartFormat chart="15" format="23" series="1">
      <pivotArea type="data" outline="0" fieldPosition="0">
        <references count="2">
          <reference field="4294967294" count="1" selected="0">
            <x v="0"/>
          </reference>
          <reference field="9" count="1" selected="0">
            <x v="1"/>
          </reference>
        </references>
      </pivotArea>
    </chartFormat>
    <chartFormat chart="15" format="24" series="1">
      <pivotArea type="data" outline="0" fieldPosition="0">
        <references count="2">
          <reference field="4294967294" count="1" selected="0">
            <x v="0"/>
          </reference>
          <reference field="9" count="1" selected="0">
            <x v="2"/>
          </reference>
        </references>
      </pivotArea>
    </chartFormat>
    <chartFormat chart="15" format="25" series="1">
      <pivotArea type="data" outline="0" fieldPosition="0">
        <references count="2">
          <reference field="4294967294" count="1" selected="0">
            <x v="0"/>
          </reference>
          <reference field="9" count="1" selected="0">
            <x v="3"/>
          </reference>
        </references>
      </pivotArea>
    </chartFormat>
    <chartFormat chart="55" format="0" series="1">
      <pivotArea type="data" outline="0" fieldPosition="0">
        <references count="2">
          <reference field="4294967294" count="1" selected="0">
            <x v="0"/>
          </reference>
          <reference field="9" count="1" selected="0">
            <x v="0"/>
          </reference>
        </references>
      </pivotArea>
    </chartFormat>
    <chartFormat chart="55" format="1" series="1">
      <pivotArea type="data" outline="0" fieldPosition="0">
        <references count="2">
          <reference field="4294967294" count="1" selected="0">
            <x v="0"/>
          </reference>
          <reference field="9" count="1" selected="0">
            <x v="1"/>
          </reference>
        </references>
      </pivotArea>
    </chartFormat>
    <chartFormat chart="55" format="2" series="1">
      <pivotArea type="data" outline="0" fieldPosition="0">
        <references count="2">
          <reference field="4294967294" count="1" selected="0">
            <x v="0"/>
          </reference>
          <reference field="9" count="1" selected="0">
            <x v="2"/>
          </reference>
        </references>
      </pivotArea>
    </chartFormat>
    <chartFormat chart="55" format="3" series="1">
      <pivotArea type="data" outline="0" fieldPosition="0">
        <references count="2">
          <reference field="4294967294" count="1" selected="0">
            <x v="0"/>
          </reference>
          <reference field="9" count="1" selected="0">
            <x v="3"/>
          </reference>
        </references>
      </pivotArea>
    </chartFormat>
    <chartFormat chart="57" format="8" series="1">
      <pivotArea type="data" outline="0" fieldPosition="0">
        <references count="2">
          <reference field="4294967294" count="1" selected="0">
            <x v="0"/>
          </reference>
          <reference field="9" count="1" selected="0">
            <x v="0"/>
          </reference>
        </references>
      </pivotArea>
    </chartFormat>
    <chartFormat chart="57" format="9" series="1">
      <pivotArea type="data" outline="0" fieldPosition="0">
        <references count="2">
          <reference field="4294967294" count="1" selected="0">
            <x v="0"/>
          </reference>
          <reference field="9" count="1" selected="0">
            <x v="1"/>
          </reference>
        </references>
      </pivotArea>
    </chartFormat>
    <chartFormat chart="57" format="10" series="1">
      <pivotArea type="data" outline="0" fieldPosition="0">
        <references count="2">
          <reference field="4294967294" count="1" selected="0">
            <x v="0"/>
          </reference>
          <reference field="9" count="1" selected="0">
            <x v="2"/>
          </reference>
        </references>
      </pivotArea>
    </chartFormat>
    <chartFormat chart="57"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6B1A6-0DE6-4AA6-BBDB-891D2ED8E631}"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6:B64" firstHeaderRow="1" firstDataRow="1" firstDataCol="1"/>
  <pivotFields count="12">
    <pivotField dataField="1" showAll="0"/>
    <pivotField showAll="0"/>
    <pivotField showAll="0"/>
    <pivotField showAll="0">
      <items count="9">
        <item x="0"/>
        <item x="4"/>
        <item x="1"/>
        <item x="2"/>
        <item x="3"/>
        <item x="7"/>
        <item x="5"/>
        <item x="6"/>
        <item t="default"/>
      </items>
    </pivotField>
    <pivotField axis="axisRow"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numFmtId="3"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4"/>
  </rowFields>
  <rowItems count="8">
    <i>
      <x v="1"/>
    </i>
    <i>
      <x v="2"/>
    </i>
    <i>
      <x v="3"/>
    </i>
    <i>
      <x v="4"/>
    </i>
    <i>
      <x v="5"/>
    </i>
    <i>
      <x v="6"/>
    </i>
    <i>
      <x v="7"/>
    </i>
    <i t="grand">
      <x/>
    </i>
  </rowItems>
  <colItems count="1">
    <i/>
  </colItems>
  <dataFields count="1">
    <dataField name="Count of Candidate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2EF8B-7EE8-46B3-A3AE-BE2E316DC1E2}"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1:A50" firstHeaderRow="1" firstDataRow="1" firstDataCol="1"/>
  <pivotFields count="12">
    <pivotField showAll="0"/>
    <pivotField showAll="0"/>
    <pivotField showAll="0"/>
    <pivotField showAll="0">
      <items count="9">
        <item x="0"/>
        <item x="4"/>
        <item x="1"/>
        <item x="2"/>
        <item x="3"/>
        <item x="7"/>
        <item x="5"/>
        <item x="6"/>
        <item t="default"/>
      </items>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axis="axisRow" showAll="0">
      <items count="9">
        <item x="1"/>
        <item x="5"/>
        <item x="3"/>
        <item x="7"/>
        <item x="6"/>
        <item x="4"/>
        <item x="0"/>
        <item x="2"/>
        <item t="default"/>
      </items>
    </pivotField>
    <pivotField showAll="0"/>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DB316F-855E-44B2-AE75-F8E47DD3951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9:B38" firstHeaderRow="1" firstDataRow="1" firstDataCol="1"/>
  <pivotFields count="12">
    <pivotField dataField="1" showAll="0"/>
    <pivotField showAll="0"/>
    <pivotField showAll="0">
      <items count="116">
        <item x="43"/>
        <item x="7"/>
        <item x="13"/>
        <item x="85"/>
        <item x="102"/>
        <item x="31"/>
        <item x="94"/>
        <item x="36"/>
        <item x="68"/>
        <item x="12"/>
        <item x="26"/>
        <item x="86"/>
        <item x="77"/>
        <item x="44"/>
        <item x="104"/>
        <item x="99"/>
        <item x="11"/>
        <item x="64"/>
        <item x="100"/>
        <item x="110"/>
        <item x="19"/>
        <item x="49"/>
        <item x="0"/>
        <item x="16"/>
        <item x="33"/>
        <item x="45"/>
        <item x="10"/>
        <item x="82"/>
        <item x="90"/>
        <item x="103"/>
        <item x="46"/>
        <item x="58"/>
        <item x="87"/>
        <item x="4"/>
        <item x="29"/>
        <item x="72"/>
        <item x="79"/>
        <item x="22"/>
        <item x="53"/>
        <item x="15"/>
        <item x="114"/>
        <item x="92"/>
        <item x="27"/>
        <item x="52"/>
        <item x="70"/>
        <item x="97"/>
        <item x="1"/>
        <item x="62"/>
        <item x="61"/>
        <item x="37"/>
        <item x="107"/>
        <item x="81"/>
        <item x="73"/>
        <item x="59"/>
        <item x="25"/>
        <item x="50"/>
        <item x="112"/>
        <item x="93"/>
        <item x="76"/>
        <item x="38"/>
        <item x="48"/>
        <item x="55"/>
        <item x="67"/>
        <item x="54"/>
        <item x="3"/>
        <item x="91"/>
        <item x="21"/>
        <item x="106"/>
        <item x="39"/>
        <item x="18"/>
        <item x="78"/>
        <item x="32"/>
        <item x="66"/>
        <item x="111"/>
        <item x="24"/>
        <item x="23"/>
        <item x="98"/>
        <item x="108"/>
        <item x="60"/>
        <item x="75"/>
        <item x="20"/>
        <item x="74"/>
        <item x="57"/>
        <item x="8"/>
        <item x="35"/>
        <item x="40"/>
        <item x="9"/>
        <item x="80"/>
        <item x="65"/>
        <item x="96"/>
        <item x="71"/>
        <item x="6"/>
        <item x="14"/>
        <item x="89"/>
        <item x="83"/>
        <item x="42"/>
        <item x="63"/>
        <item x="30"/>
        <item x="2"/>
        <item x="41"/>
        <item x="113"/>
        <item x="51"/>
        <item x="69"/>
        <item x="105"/>
        <item x="17"/>
        <item x="101"/>
        <item x="84"/>
        <item x="56"/>
        <item x="109"/>
        <item x="34"/>
        <item x="47"/>
        <item x="28"/>
        <item x="5"/>
        <item x="88"/>
        <item x="95"/>
        <item t="default"/>
      </items>
    </pivotField>
    <pivotField axis="axisRow" showAll="0" sortType="descending">
      <items count="9">
        <item x="0"/>
        <item x="4"/>
        <item x="1"/>
        <item x="2"/>
        <item x="3"/>
        <item x="7"/>
        <item x="5"/>
        <item x="6"/>
        <item t="default"/>
      </items>
      <autoSortScope>
        <pivotArea dataOnly="0" outline="0" fieldPosition="0">
          <references count="1">
            <reference field="4294967294" count="1" selected="0">
              <x v="0"/>
            </reference>
          </references>
        </pivotArea>
      </autoSortScope>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v="3"/>
    </i>
    <i>
      <x v="2"/>
    </i>
    <i>
      <x v="4"/>
    </i>
    <i>
      <x v="1"/>
    </i>
    <i>
      <x v="5"/>
    </i>
    <i>
      <x/>
    </i>
    <i>
      <x v="7"/>
    </i>
    <i>
      <x v="6"/>
    </i>
    <i t="grand">
      <x/>
    </i>
  </rowItems>
  <colItems count="1">
    <i/>
  </colItems>
  <dataFields count="1">
    <dataField name="Count of Candidate ID" fld="0" subtotal="count"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CC81AD-C04C-4EF2-A8E2-76D161398CC6}" name="PivotTable4"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9:B24" firstHeaderRow="1" firstDataRow="1" firstDataCol="1"/>
  <pivotFields count="12">
    <pivotField dataField="1" showAll="0"/>
    <pivotField showAll="0"/>
    <pivotField showAll="0"/>
    <pivotField showAll="0">
      <items count="9">
        <item x="0"/>
        <item x="4"/>
        <item x="1"/>
        <item x="2"/>
        <item x="3"/>
        <item x="7"/>
        <item x="5"/>
        <item x="6"/>
        <item t="default"/>
      </items>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9">
        <item x="1"/>
        <item x="5"/>
        <item x="3"/>
        <item x="7"/>
        <item x="6"/>
        <item x="4"/>
        <item x="0"/>
        <item x="2"/>
        <item t="default"/>
      </items>
    </pivotField>
    <pivotField showAll="0"/>
    <pivotField showAll="0"/>
    <pivotField numFmtId="3" showAll="0"/>
    <pivotField axis="axisRow" showAll="0">
      <items count="5">
        <item x="0"/>
        <item x="1"/>
        <item x="2"/>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Count of Candidat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0DE6BB-4C6B-41A6-91A2-074361859F92}"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6" firstHeaderRow="1" firstDataRow="1" firstDataCol="1"/>
  <pivotFields count="12">
    <pivotField showAll="0"/>
    <pivotField showAll="0"/>
    <pivotField showAll="0">
      <items count="116">
        <item x="43"/>
        <item x="7"/>
        <item x="13"/>
        <item x="85"/>
        <item x="102"/>
        <item x="31"/>
        <item x="94"/>
        <item x="36"/>
        <item x="68"/>
        <item x="12"/>
        <item x="26"/>
        <item x="86"/>
        <item x="77"/>
        <item x="44"/>
        <item x="104"/>
        <item x="99"/>
        <item x="11"/>
        <item x="64"/>
        <item x="100"/>
        <item x="110"/>
        <item x="19"/>
        <item x="49"/>
        <item x="0"/>
        <item x="16"/>
        <item x="33"/>
        <item x="45"/>
        <item x="10"/>
        <item x="82"/>
        <item x="90"/>
        <item x="103"/>
        <item x="46"/>
        <item x="58"/>
        <item x="87"/>
        <item x="4"/>
        <item x="29"/>
        <item x="72"/>
        <item x="79"/>
        <item x="22"/>
        <item x="53"/>
        <item x="15"/>
        <item x="114"/>
        <item x="92"/>
        <item x="27"/>
        <item x="52"/>
        <item x="70"/>
        <item x="97"/>
        <item x="1"/>
        <item x="62"/>
        <item x="61"/>
        <item x="37"/>
        <item x="107"/>
        <item x="81"/>
        <item x="73"/>
        <item x="59"/>
        <item x="25"/>
        <item x="50"/>
        <item x="112"/>
        <item x="93"/>
        <item x="76"/>
        <item x="38"/>
        <item x="48"/>
        <item x="55"/>
        <item x="67"/>
        <item x="54"/>
        <item x="3"/>
        <item x="91"/>
        <item x="21"/>
        <item x="106"/>
        <item x="39"/>
        <item x="18"/>
        <item x="78"/>
        <item x="32"/>
        <item x="66"/>
        <item x="111"/>
        <item x="24"/>
        <item x="23"/>
        <item x="98"/>
        <item x="108"/>
        <item x="60"/>
        <item x="75"/>
        <item x="20"/>
        <item x="74"/>
        <item x="57"/>
        <item x="8"/>
        <item x="35"/>
        <item x="40"/>
        <item x="9"/>
        <item x="80"/>
        <item x="65"/>
        <item x="96"/>
        <item x="71"/>
        <item x="6"/>
        <item x="14"/>
        <item x="89"/>
        <item x="83"/>
        <item x="42"/>
        <item x="63"/>
        <item x="30"/>
        <item x="2"/>
        <item x="41"/>
        <item x="113"/>
        <item x="51"/>
        <item x="69"/>
        <item x="105"/>
        <item x="17"/>
        <item x="101"/>
        <item x="84"/>
        <item x="56"/>
        <item x="109"/>
        <item x="34"/>
        <item x="47"/>
        <item x="28"/>
        <item x="5"/>
        <item x="88"/>
        <item x="95"/>
        <item t="default"/>
      </items>
    </pivotField>
    <pivotField showAll="0">
      <items count="9">
        <item x="0"/>
        <item x="4"/>
        <item x="1"/>
        <item x="2"/>
        <item x="3"/>
        <item x="7"/>
        <item x="5"/>
        <item x="6"/>
        <item t="default"/>
      </items>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axis="axisRow" dataField="1" showAll="0">
      <items count="8">
        <item x="6"/>
        <item x="5"/>
        <item x="1"/>
        <item x="0"/>
        <item x="4"/>
        <item x="3"/>
        <item x="2"/>
        <item t="default"/>
      </items>
    </pivotField>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Items count="1">
    <i/>
  </colItems>
  <dataFields count="1">
    <dataField name="Count of Stage" fld="6"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824657-0A60-4BA6-8937-5D23E9FF0394}"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2">
    <pivotField dataField="1" showAll="0"/>
    <pivotField showAll="0"/>
    <pivotField showAll="0"/>
    <pivotField showAll="0">
      <items count="9">
        <item x="0"/>
        <item x="4"/>
        <item x="1"/>
        <item x="2"/>
        <item x="3"/>
        <item x="7"/>
        <item x="5"/>
        <item x="6"/>
        <item t="default"/>
      </items>
    </pivotField>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pivotField showAll="0"/>
    <pivotField showAll="0"/>
    <pivotField numFmtId="3"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andidat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_Applied" xr10:uid="{292CDE84-DAB8-450C-92D1-130CDF5D6A5A}" sourceName="Position Applied">
  <pivotTables>
    <pivotTable tabId="2" name="PivotTable3"/>
  </pivotTables>
  <data>
    <tabular pivotCacheId="284603314">
      <items count="115">
        <i x="43" s="1"/>
        <i x="7" s="1"/>
        <i x="13" s="1"/>
        <i x="85" s="1"/>
        <i x="102" s="1"/>
        <i x="31" s="1"/>
        <i x="94" s="1"/>
        <i x="36" s="1"/>
        <i x="68" s="1"/>
        <i x="12" s="1"/>
        <i x="26" s="1"/>
        <i x="86" s="1"/>
        <i x="77" s="1"/>
        <i x="44" s="1"/>
        <i x="104" s="1"/>
        <i x="99" s="1"/>
        <i x="11" s="1"/>
        <i x="64" s="1"/>
        <i x="100" s="1"/>
        <i x="110" s="1"/>
        <i x="19" s="1"/>
        <i x="49" s="1"/>
        <i x="0" s="1"/>
        <i x="16" s="1"/>
        <i x="33" s="1"/>
        <i x="45" s="1"/>
        <i x="10" s="1"/>
        <i x="82" s="1"/>
        <i x="90" s="1"/>
        <i x="103" s="1"/>
        <i x="46" s="1"/>
        <i x="58" s="1"/>
        <i x="87" s="1"/>
        <i x="4" s="1"/>
        <i x="29" s="1"/>
        <i x="72" s="1"/>
        <i x="79" s="1"/>
        <i x="22" s="1"/>
        <i x="53" s="1"/>
        <i x="15" s="1"/>
        <i x="114" s="1"/>
        <i x="92" s="1"/>
        <i x="27" s="1"/>
        <i x="52" s="1"/>
        <i x="70" s="1"/>
        <i x="97" s="1"/>
        <i x="1" s="1"/>
        <i x="62" s="1"/>
        <i x="61" s="1"/>
        <i x="37" s="1"/>
        <i x="107" s="1"/>
        <i x="81" s="1"/>
        <i x="73" s="1"/>
        <i x="59" s="1"/>
        <i x="25" s="1"/>
        <i x="50" s="1"/>
        <i x="112" s="1"/>
        <i x="93" s="1"/>
        <i x="76" s="1"/>
        <i x="38" s="1"/>
        <i x="48" s="1"/>
        <i x="55" s="1"/>
        <i x="67" s="1"/>
        <i x="54" s="1"/>
        <i x="3" s="1"/>
        <i x="91" s="1"/>
        <i x="21" s="1"/>
        <i x="106" s="1"/>
        <i x="39" s="1"/>
        <i x="18" s="1"/>
        <i x="78" s="1"/>
        <i x="32" s="1"/>
        <i x="66" s="1"/>
        <i x="111" s="1"/>
        <i x="24" s="1"/>
        <i x="23" s="1"/>
        <i x="98" s="1"/>
        <i x="108" s="1"/>
        <i x="60" s="1"/>
        <i x="75" s="1"/>
        <i x="20" s="1"/>
        <i x="74" s="1"/>
        <i x="57" s="1"/>
        <i x="8" s="1"/>
        <i x="35" s="1"/>
        <i x="40" s="1"/>
        <i x="9" s="1"/>
        <i x="80" s="1"/>
        <i x="65" s="1"/>
        <i x="96" s="1"/>
        <i x="71" s="1"/>
        <i x="6" s="1"/>
        <i x="14" s="1"/>
        <i x="89" s="1"/>
        <i x="83" s="1"/>
        <i x="42" s="1"/>
        <i x="63" s="1"/>
        <i x="30" s="1"/>
        <i x="2" s="1"/>
        <i x="41" s="1"/>
        <i x="113" s="1"/>
        <i x="51" s="1"/>
        <i x="69" s="1"/>
        <i x="105" s="1"/>
        <i x="17" s="1"/>
        <i x="101" s="1"/>
        <i x="84" s="1"/>
        <i x="56" s="1"/>
        <i x="109" s="1"/>
        <i x="34" s="1"/>
        <i x="47" s="1"/>
        <i x="28" s="1"/>
        <i x="5" s="1"/>
        <i x="88" s="1"/>
        <i x="9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42BCE06-1112-46EB-9776-28A45685B24D}" sourceName="Department">
  <pivotTables>
    <pivotTable tabId="2" name="PivotTable3"/>
    <pivotTable tabId="2" name="PivotTable2"/>
    <pivotTable tabId="2" name="PivotTable4"/>
    <pivotTable tabId="2" name="PivotTable5"/>
    <pivotTable tabId="2" name="PivotTable6"/>
    <pivotTable tabId="2" name="PivotTable7"/>
    <pivotTable tabId="2" name="PivotTable9"/>
  </pivotTables>
  <data>
    <tabular pivotCacheId="284603314">
      <items count="8">
        <i x="0" s="1"/>
        <i x="4" s="1"/>
        <i x="1" s="1"/>
        <i x="2" s="1"/>
        <i x="3" s="1"/>
        <i x="7"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Applied" xr10:uid="{9738E5D9-E788-40E1-B9E9-FA1A251CA93F}" cache="Slicer_Position_Applied" caption="Position Applied" rowHeight="247650"/>
  <slicer name="Department" xr10:uid="{209AD38E-4976-42D2-AF80-39C7D00C01C8}"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Applied 1" xr10:uid="{5F0A38F7-56E9-43BD-95F0-370C29CB3C32}" cache="Slicer_Position_Applied" caption="Position Applied" style="Custom 1" rowHeight="247650"/>
  <slicer name="Department 1" xr10:uid="{142DD19E-5CBA-4C9B-A014-D1BBC9979254}"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AFC72E-2043-4774-870F-85248FC0AC6D}" name="Table1" displayName="Table1" ref="A1:J121" totalsRowShown="0" headerRowDxfId="4">
  <autoFilter ref="A1:J121" xr:uid="{04AFC72E-2043-4774-870F-85248FC0AC6D}"/>
  <tableColumns count="10">
    <tableColumn id="1" xr3:uid="{466DBD65-279C-4DBC-B4DB-A7F2F3034C8B}" name="Candidate ID"/>
    <tableColumn id="2" xr3:uid="{3665EACD-E76F-40DF-8FFA-C9DF6A2DBAA1}" name="Full Name"/>
    <tableColumn id="3" xr3:uid="{2448AB5E-81DA-4D33-9BE5-D47DEA89596F}" name="Position Applied"/>
    <tableColumn id="4" xr3:uid="{6CD97188-EE7C-430A-9B56-DDBB27DB0D44}" name="Department"/>
    <tableColumn id="5" xr3:uid="{F4730293-4823-4F9B-A937-C77CC6452284}" name="Application Date" dataDxfId="3"/>
    <tableColumn id="6" xr3:uid="{3E036070-3DC7-4A77-A157-300DE5D77157}" name="Source"/>
    <tableColumn id="7" xr3:uid="{71950D0D-9FC4-4714-B2C4-518BDE8FE062}" name="Stage"/>
    <tableColumn id="8" xr3:uid="{BBB4AC97-9508-4CBD-97C9-9336D4AA1663}" name="Interview Score"/>
    <tableColumn id="9" xr3:uid="{851563B6-6D6C-4583-BC06-519136511D3A}" name="Expected Salary" dataDxfId="2"/>
    <tableColumn id="10" xr3:uid="{A3CEAC9E-8B19-4875-9853-1B0648CB304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0660-905C-4621-8A19-5C779ED549A9}">
  <dimension ref="A1:K121"/>
  <sheetViews>
    <sheetView topLeftCell="E1" workbookViewId="0">
      <selection activeCell="N4" sqref="N4"/>
    </sheetView>
  </sheetViews>
  <sheetFormatPr defaultRowHeight="14.4" x14ac:dyDescent="0.3"/>
  <cols>
    <col min="1" max="1" width="17.44140625" customWidth="1"/>
    <col min="2" max="2" width="18.88671875" customWidth="1"/>
    <col min="3" max="3" width="21.21875" customWidth="1"/>
    <col min="4" max="4" width="14.44140625" customWidth="1"/>
    <col min="5" max="5" width="16.77734375" customWidth="1"/>
    <col min="6" max="6" width="11.88671875" customWidth="1"/>
    <col min="7" max="7" width="17" customWidth="1"/>
    <col min="8" max="8" width="15.6640625" customWidth="1"/>
    <col min="9" max="9" width="16.21875" customWidth="1"/>
    <col min="10" max="10" width="14.5546875" customWidth="1"/>
    <col min="12" max="12" width="11.5546875" customWidth="1"/>
  </cols>
  <sheetData>
    <row r="1" spans="1:11" x14ac:dyDescent="0.3">
      <c r="A1" s="2" t="s">
        <v>384</v>
      </c>
      <c r="B1" s="2" t="s">
        <v>383</v>
      </c>
      <c r="C1" s="2" t="s">
        <v>382</v>
      </c>
      <c r="D1" s="2" t="s">
        <v>381</v>
      </c>
      <c r="E1" s="2" t="s">
        <v>385</v>
      </c>
      <c r="F1" s="2" t="s">
        <v>386</v>
      </c>
      <c r="G1" s="2" t="s">
        <v>387</v>
      </c>
      <c r="H1" s="2" t="s">
        <v>388</v>
      </c>
      <c r="I1" s="2" t="s">
        <v>390</v>
      </c>
      <c r="J1" s="2" t="s">
        <v>389</v>
      </c>
      <c r="K1" s="8"/>
    </row>
    <row r="2" spans="1:11" x14ac:dyDescent="0.3">
      <c r="A2" t="s">
        <v>0</v>
      </c>
      <c r="B2" t="s">
        <v>1</v>
      </c>
      <c r="C2" t="s">
        <v>2</v>
      </c>
      <c r="D2" t="s">
        <v>3</v>
      </c>
      <c r="E2" s="1">
        <v>46027</v>
      </c>
      <c r="F2" t="s">
        <v>4</v>
      </c>
      <c r="G2" t="s">
        <v>5</v>
      </c>
      <c r="H2">
        <v>87</v>
      </c>
      <c r="I2" s="3">
        <v>14000</v>
      </c>
      <c r="J2" t="s">
        <v>6</v>
      </c>
    </row>
    <row r="3" spans="1:11" x14ac:dyDescent="0.3">
      <c r="A3" t="s">
        <v>7</v>
      </c>
      <c r="B3" t="s">
        <v>8</v>
      </c>
      <c r="C3" t="s">
        <v>9</v>
      </c>
      <c r="D3" t="s">
        <v>10</v>
      </c>
      <c r="E3" s="1">
        <v>46029</v>
      </c>
      <c r="F3" t="s">
        <v>11</v>
      </c>
      <c r="G3" t="s">
        <v>12</v>
      </c>
      <c r="H3">
        <v>78</v>
      </c>
      <c r="I3" s="3">
        <v>11000</v>
      </c>
      <c r="J3" t="s">
        <v>13</v>
      </c>
    </row>
    <row r="4" spans="1:11" x14ac:dyDescent="0.3">
      <c r="A4" t="s">
        <v>14</v>
      </c>
      <c r="B4" t="s">
        <v>15</v>
      </c>
      <c r="C4" t="s">
        <v>16</v>
      </c>
      <c r="D4" t="s">
        <v>17</v>
      </c>
      <c r="E4" s="1">
        <v>46030</v>
      </c>
      <c r="F4" t="s">
        <v>4</v>
      </c>
      <c r="G4" t="s">
        <v>18</v>
      </c>
      <c r="H4">
        <v>82</v>
      </c>
      <c r="I4" s="3">
        <v>18000</v>
      </c>
      <c r="J4" t="s">
        <v>13</v>
      </c>
    </row>
    <row r="5" spans="1:11" x14ac:dyDescent="0.3">
      <c r="A5" t="s">
        <v>19</v>
      </c>
      <c r="B5" t="s">
        <v>20</v>
      </c>
      <c r="C5" t="s">
        <v>21</v>
      </c>
      <c r="D5" t="s">
        <v>22</v>
      </c>
      <c r="E5" s="1">
        <v>46032</v>
      </c>
      <c r="F5" t="s">
        <v>23</v>
      </c>
      <c r="G5" t="s">
        <v>24</v>
      </c>
      <c r="I5" s="3">
        <v>9500</v>
      </c>
      <c r="J5" t="s">
        <v>13</v>
      </c>
    </row>
    <row r="6" spans="1:11" x14ac:dyDescent="0.3">
      <c r="A6" t="s">
        <v>25</v>
      </c>
      <c r="B6" t="s">
        <v>26</v>
      </c>
      <c r="C6" t="s">
        <v>27</v>
      </c>
      <c r="D6" t="s">
        <v>28</v>
      </c>
      <c r="E6" s="1">
        <v>46034</v>
      </c>
      <c r="F6" t="s">
        <v>4</v>
      </c>
      <c r="G6" t="s">
        <v>29</v>
      </c>
      <c r="H6">
        <v>55</v>
      </c>
      <c r="I6" s="3">
        <v>13000</v>
      </c>
      <c r="J6" t="s">
        <v>29</v>
      </c>
    </row>
    <row r="7" spans="1:11" x14ac:dyDescent="0.3">
      <c r="A7" t="s">
        <v>30</v>
      </c>
      <c r="B7" t="s">
        <v>31</v>
      </c>
      <c r="C7" t="s">
        <v>32</v>
      </c>
      <c r="D7" t="s">
        <v>33</v>
      </c>
      <c r="E7" s="1">
        <v>46035</v>
      </c>
      <c r="F7" t="s">
        <v>34</v>
      </c>
      <c r="G7" t="s">
        <v>5</v>
      </c>
      <c r="H7">
        <v>90</v>
      </c>
      <c r="I7" s="3">
        <v>15500</v>
      </c>
      <c r="J7" t="s">
        <v>6</v>
      </c>
    </row>
    <row r="8" spans="1:11" x14ac:dyDescent="0.3">
      <c r="A8" t="s">
        <v>35</v>
      </c>
      <c r="B8" t="s">
        <v>36</v>
      </c>
      <c r="C8" t="s">
        <v>37</v>
      </c>
      <c r="D8" t="s">
        <v>38</v>
      </c>
      <c r="E8" s="1">
        <v>46037</v>
      </c>
      <c r="F8" t="s">
        <v>39</v>
      </c>
      <c r="G8" t="s">
        <v>12</v>
      </c>
      <c r="H8">
        <v>72</v>
      </c>
      <c r="I8" s="3">
        <v>10000</v>
      </c>
      <c r="J8" t="s">
        <v>13</v>
      </c>
    </row>
    <row r="9" spans="1:11" x14ac:dyDescent="0.3">
      <c r="A9" t="s">
        <v>40</v>
      </c>
      <c r="B9" t="s">
        <v>41</v>
      </c>
      <c r="C9" t="s">
        <v>42</v>
      </c>
      <c r="D9" t="s">
        <v>28</v>
      </c>
      <c r="E9" s="1">
        <v>46038</v>
      </c>
      <c r="F9" t="s">
        <v>11</v>
      </c>
      <c r="G9" t="s">
        <v>43</v>
      </c>
      <c r="H9">
        <v>80</v>
      </c>
      <c r="I9" s="3">
        <v>11500</v>
      </c>
      <c r="J9" t="s">
        <v>13</v>
      </c>
    </row>
    <row r="10" spans="1:11" x14ac:dyDescent="0.3">
      <c r="A10" t="s">
        <v>44</v>
      </c>
      <c r="B10" t="s">
        <v>45</v>
      </c>
      <c r="C10" t="s">
        <v>46</v>
      </c>
      <c r="D10" t="s">
        <v>47</v>
      </c>
      <c r="E10" s="1">
        <v>46040</v>
      </c>
      <c r="F10" t="s">
        <v>4</v>
      </c>
      <c r="G10" t="s">
        <v>5</v>
      </c>
      <c r="H10">
        <v>88</v>
      </c>
      <c r="I10" s="3">
        <v>22000</v>
      </c>
      <c r="J10" t="s">
        <v>6</v>
      </c>
    </row>
    <row r="11" spans="1:11" x14ac:dyDescent="0.3">
      <c r="A11" t="s">
        <v>48</v>
      </c>
      <c r="B11" t="s">
        <v>49</v>
      </c>
      <c r="C11" t="s">
        <v>50</v>
      </c>
      <c r="D11" t="s">
        <v>10</v>
      </c>
      <c r="E11" s="1">
        <v>46041</v>
      </c>
      <c r="F11" t="s">
        <v>23</v>
      </c>
      <c r="G11" t="s">
        <v>24</v>
      </c>
      <c r="H11">
        <v>68</v>
      </c>
      <c r="I11" s="3">
        <v>10500</v>
      </c>
      <c r="J11" t="s">
        <v>13</v>
      </c>
    </row>
    <row r="12" spans="1:11" x14ac:dyDescent="0.3">
      <c r="A12" t="s">
        <v>51</v>
      </c>
      <c r="B12" t="s">
        <v>52</v>
      </c>
      <c r="C12" t="s">
        <v>53</v>
      </c>
      <c r="D12" t="s">
        <v>17</v>
      </c>
      <c r="E12" s="1">
        <v>46043</v>
      </c>
      <c r="F12" t="s">
        <v>4</v>
      </c>
      <c r="G12" t="s">
        <v>18</v>
      </c>
      <c r="H12">
        <v>85</v>
      </c>
      <c r="I12" s="3">
        <v>19000</v>
      </c>
      <c r="J12" t="s">
        <v>13</v>
      </c>
    </row>
    <row r="13" spans="1:11" x14ac:dyDescent="0.3">
      <c r="A13" t="s">
        <v>54</v>
      </c>
      <c r="B13" t="s">
        <v>55</v>
      </c>
      <c r="C13" t="s">
        <v>56</v>
      </c>
      <c r="D13" t="s">
        <v>22</v>
      </c>
      <c r="E13" s="1">
        <v>46044</v>
      </c>
      <c r="F13" t="s">
        <v>34</v>
      </c>
      <c r="G13" t="s">
        <v>29</v>
      </c>
      <c r="H13">
        <v>48</v>
      </c>
      <c r="I13" s="3">
        <v>8500</v>
      </c>
      <c r="J13" t="s">
        <v>29</v>
      </c>
    </row>
    <row r="14" spans="1:11" x14ac:dyDescent="0.3">
      <c r="A14" t="s">
        <v>57</v>
      </c>
      <c r="B14" t="s">
        <v>58</v>
      </c>
      <c r="C14" t="s">
        <v>59</v>
      </c>
      <c r="D14" t="s">
        <v>3</v>
      </c>
      <c r="E14" s="1">
        <v>46046</v>
      </c>
      <c r="F14" t="s">
        <v>4</v>
      </c>
      <c r="G14" t="s">
        <v>5</v>
      </c>
      <c r="H14">
        <v>84</v>
      </c>
      <c r="I14" s="3">
        <v>15000</v>
      </c>
      <c r="J14" t="s">
        <v>6</v>
      </c>
    </row>
    <row r="15" spans="1:11" x14ac:dyDescent="0.3">
      <c r="A15" t="s">
        <v>60</v>
      </c>
      <c r="B15" t="s">
        <v>61</v>
      </c>
      <c r="C15" t="s">
        <v>62</v>
      </c>
      <c r="D15" t="s">
        <v>47</v>
      </c>
      <c r="E15" s="1">
        <v>46047</v>
      </c>
      <c r="F15" t="s">
        <v>11</v>
      </c>
      <c r="G15" t="s">
        <v>12</v>
      </c>
      <c r="H15">
        <v>70</v>
      </c>
      <c r="I15" s="3">
        <v>7500</v>
      </c>
      <c r="J15" t="s">
        <v>13</v>
      </c>
    </row>
    <row r="16" spans="1:11" x14ac:dyDescent="0.3">
      <c r="A16" t="s">
        <v>63</v>
      </c>
      <c r="B16" t="s">
        <v>64</v>
      </c>
      <c r="C16" t="s">
        <v>65</v>
      </c>
      <c r="D16" t="s">
        <v>38</v>
      </c>
      <c r="E16" s="1">
        <v>46049</v>
      </c>
      <c r="F16" t="s">
        <v>4</v>
      </c>
      <c r="G16" t="s">
        <v>66</v>
      </c>
      <c r="H16">
        <v>86</v>
      </c>
      <c r="I16" s="3">
        <v>21000</v>
      </c>
      <c r="J16" t="s">
        <v>13</v>
      </c>
    </row>
    <row r="17" spans="1:10" x14ac:dyDescent="0.3">
      <c r="A17" t="s">
        <v>67</v>
      </c>
      <c r="B17" t="s">
        <v>68</v>
      </c>
      <c r="C17" t="s">
        <v>69</v>
      </c>
      <c r="D17" t="s">
        <v>22</v>
      </c>
      <c r="E17" s="1">
        <v>46050</v>
      </c>
      <c r="F17" t="s">
        <v>70</v>
      </c>
      <c r="G17" t="s">
        <v>12</v>
      </c>
      <c r="H17">
        <v>79</v>
      </c>
      <c r="I17" s="3">
        <v>10500</v>
      </c>
      <c r="J17" t="s">
        <v>13</v>
      </c>
    </row>
    <row r="18" spans="1:10" x14ac:dyDescent="0.3">
      <c r="A18" t="s">
        <v>71</v>
      </c>
      <c r="B18" t="s">
        <v>72</v>
      </c>
      <c r="C18" t="s">
        <v>73</v>
      </c>
      <c r="D18" t="s">
        <v>3</v>
      </c>
      <c r="E18" s="1">
        <v>46052</v>
      </c>
      <c r="F18" t="s">
        <v>4</v>
      </c>
      <c r="G18" t="s">
        <v>18</v>
      </c>
      <c r="H18">
        <v>83</v>
      </c>
      <c r="I18" s="3">
        <v>17500</v>
      </c>
      <c r="J18" t="s">
        <v>13</v>
      </c>
    </row>
    <row r="19" spans="1:10" x14ac:dyDescent="0.3">
      <c r="A19" t="s">
        <v>74</v>
      </c>
      <c r="B19" t="s">
        <v>75</v>
      </c>
      <c r="C19" t="s">
        <v>76</v>
      </c>
      <c r="D19" t="s">
        <v>10</v>
      </c>
      <c r="E19" s="1">
        <v>46054</v>
      </c>
      <c r="F19" t="s">
        <v>23</v>
      </c>
      <c r="G19" t="s">
        <v>5</v>
      </c>
      <c r="H19">
        <v>89</v>
      </c>
      <c r="I19" s="3">
        <v>13500</v>
      </c>
      <c r="J19" t="s">
        <v>6</v>
      </c>
    </row>
    <row r="20" spans="1:10" x14ac:dyDescent="0.3">
      <c r="A20" t="s">
        <v>77</v>
      </c>
      <c r="B20" t="s">
        <v>78</v>
      </c>
      <c r="C20" t="s">
        <v>79</v>
      </c>
      <c r="D20" t="s">
        <v>17</v>
      </c>
      <c r="E20" s="1">
        <v>46055</v>
      </c>
      <c r="F20" t="s">
        <v>39</v>
      </c>
      <c r="G20" t="s">
        <v>29</v>
      </c>
      <c r="H20">
        <v>52</v>
      </c>
      <c r="I20" s="3">
        <v>14000</v>
      </c>
      <c r="J20" t="s">
        <v>29</v>
      </c>
    </row>
    <row r="21" spans="1:10" x14ac:dyDescent="0.3">
      <c r="A21" t="s">
        <v>80</v>
      </c>
      <c r="B21" t="s">
        <v>81</v>
      </c>
      <c r="C21" t="s">
        <v>82</v>
      </c>
      <c r="D21" t="s">
        <v>47</v>
      </c>
      <c r="E21" s="1">
        <v>46057</v>
      </c>
      <c r="F21" t="s">
        <v>11</v>
      </c>
      <c r="G21" t="s">
        <v>24</v>
      </c>
      <c r="H21">
        <v>65</v>
      </c>
      <c r="I21" s="3">
        <v>7000</v>
      </c>
      <c r="J21" t="s">
        <v>13</v>
      </c>
    </row>
    <row r="22" spans="1:10" x14ac:dyDescent="0.3">
      <c r="A22" t="s">
        <v>83</v>
      </c>
      <c r="B22" t="s">
        <v>84</v>
      </c>
      <c r="C22" t="s">
        <v>85</v>
      </c>
      <c r="D22" t="s">
        <v>47</v>
      </c>
      <c r="E22" s="1">
        <v>46058</v>
      </c>
      <c r="F22" t="s">
        <v>4</v>
      </c>
      <c r="G22" t="s">
        <v>43</v>
      </c>
      <c r="H22">
        <v>76</v>
      </c>
      <c r="I22" s="3">
        <v>12000</v>
      </c>
      <c r="J22" t="s">
        <v>13</v>
      </c>
    </row>
    <row r="23" spans="1:10" x14ac:dyDescent="0.3">
      <c r="A23" t="s">
        <v>86</v>
      </c>
      <c r="B23" t="s">
        <v>87</v>
      </c>
      <c r="C23" t="s">
        <v>88</v>
      </c>
      <c r="D23" t="s">
        <v>22</v>
      </c>
      <c r="E23" s="1">
        <v>46060</v>
      </c>
      <c r="F23" t="s">
        <v>4</v>
      </c>
      <c r="G23" t="s">
        <v>5</v>
      </c>
      <c r="H23">
        <v>91</v>
      </c>
      <c r="I23" s="3">
        <v>20000</v>
      </c>
      <c r="J23" t="s">
        <v>6</v>
      </c>
    </row>
    <row r="24" spans="1:10" x14ac:dyDescent="0.3">
      <c r="A24" t="s">
        <v>89</v>
      </c>
      <c r="B24" t="s">
        <v>90</v>
      </c>
      <c r="C24" t="s">
        <v>91</v>
      </c>
      <c r="D24" t="s">
        <v>17</v>
      </c>
      <c r="E24" s="1">
        <v>46061</v>
      </c>
      <c r="F24" t="s">
        <v>92</v>
      </c>
      <c r="G24" t="s">
        <v>18</v>
      </c>
      <c r="H24">
        <v>81</v>
      </c>
      <c r="I24" s="3">
        <v>16000</v>
      </c>
      <c r="J24" t="s">
        <v>13</v>
      </c>
    </row>
    <row r="25" spans="1:10" x14ac:dyDescent="0.3">
      <c r="A25" t="s">
        <v>93</v>
      </c>
      <c r="B25" t="s">
        <v>94</v>
      </c>
      <c r="C25" t="s">
        <v>95</v>
      </c>
      <c r="D25" t="s">
        <v>10</v>
      </c>
      <c r="E25" s="1">
        <v>46063</v>
      </c>
      <c r="F25" t="s">
        <v>11</v>
      </c>
      <c r="G25" t="s">
        <v>12</v>
      </c>
      <c r="H25">
        <v>74</v>
      </c>
      <c r="I25" s="3">
        <v>11000</v>
      </c>
      <c r="J25" t="s">
        <v>13</v>
      </c>
    </row>
    <row r="26" spans="1:10" x14ac:dyDescent="0.3">
      <c r="A26" t="s">
        <v>96</v>
      </c>
      <c r="B26" t="s">
        <v>97</v>
      </c>
      <c r="C26" t="s">
        <v>98</v>
      </c>
      <c r="D26" t="s">
        <v>47</v>
      </c>
      <c r="E26" s="1">
        <v>46064</v>
      </c>
      <c r="F26" t="s">
        <v>4</v>
      </c>
      <c r="G26" t="s">
        <v>66</v>
      </c>
      <c r="H26">
        <v>87</v>
      </c>
      <c r="I26" s="3">
        <v>23000</v>
      </c>
      <c r="J26" t="s">
        <v>13</v>
      </c>
    </row>
    <row r="27" spans="1:10" x14ac:dyDescent="0.3">
      <c r="A27" t="s">
        <v>99</v>
      </c>
      <c r="B27" t="s">
        <v>100</v>
      </c>
      <c r="C27" t="s">
        <v>101</v>
      </c>
      <c r="D27" t="s">
        <v>28</v>
      </c>
      <c r="E27" s="1">
        <v>46066</v>
      </c>
      <c r="F27" t="s">
        <v>39</v>
      </c>
      <c r="G27" t="s">
        <v>29</v>
      </c>
      <c r="H27">
        <v>50</v>
      </c>
      <c r="I27" s="3">
        <v>8000</v>
      </c>
      <c r="J27" t="s">
        <v>29</v>
      </c>
    </row>
    <row r="28" spans="1:10" x14ac:dyDescent="0.3">
      <c r="A28" t="s">
        <v>102</v>
      </c>
      <c r="B28" t="s">
        <v>103</v>
      </c>
      <c r="C28" t="s">
        <v>104</v>
      </c>
      <c r="D28" t="s">
        <v>17</v>
      </c>
      <c r="E28" s="1">
        <v>46067</v>
      </c>
      <c r="F28" t="s">
        <v>4</v>
      </c>
      <c r="G28" t="s">
        <v>5</v>
      </c>
      <c r="H28">
        <v>93</v>
      </c>
      <c r="I28" s="3">
        <v>28000</v>
      </c>
      <c r="J28" t="s">
        <v>6</v>
      </c>
    </row>
    <row r="29" spans="1:10" x14ac:dyDescent="0.3">
      <c r="A29" t="s">
        <v>105</v>
      </c>
      <c r="B29" t="s">
        <v>106</v>
      </c>
      <c r="C29" t="s">
        <v>107</v>
      </c>
      <c r="D29" t="s">
        <v>10</v>
      </c>
      <c r="E29" s="1">
        <v>46069</v>
      </c>
      <c r="F29" t="s">
        <v>23</v>
      </c>
      <c r="G29" t="s">
        <v>12</v>
      </c>
      <c r="H29">
        <v>82</v>
      </c>
      <c r="I29" s="3">
        <v>16500</v>
      </c>
      <c r="J29" t="s">
        <v>13</v>
      </c>
    </row>
    <row r="30" spans="1:10" x14ac:dyDescent="0.3">
      <c r="A30" t="s">
        <v>108</v>
      </c>
      <c r="B30" t="s">
        <v>109</v>
      </c>
      <c r="C30" t="s">
        <v>37</v>
      </c>
      <c r="D30" t="s">
        <v>38</v>
      </c>
      <c r="E30" s="1">
        <v>46070</v>
      </c>
      <c r="F30" t="s">
        <v>11</v>
      </c>
      <c r="G30" t="s">
        <v>24</v>
      </c>
      <c r="H30">
        <v>67</v>
      </c>
      <c r="I30" s="3">
        <v>9500</v>
      </c>
      <c r="J30" t="s">
        <v>13</v>
      </c>
    </row>
    <row r="31" spans="1:10" x14ac:dyDescent="0.3">
      <c r="A31" t="s">
        <v>110</v>
      </c>
      <c r="B31" t="s">
        <v>111</v>
      </c>
      <c r="C31" t="s">
        <v>112</v>
      </c>
      <c r="D31" t="s">
        <v>33</v>
      </c>
      <c r="E31" s="1">
        <v>46072</v>
      </c>
      <c r="F31" t="s">
        <v>113</v>
      </c>
      <c r="G31" t="s">
        <v>18</v>
      </c>
      <c r="H31">
        <v>80</v>
      </c>
      <c r="I31" s="3">
        <v>14000</v>
      </c>
      <c r="J31" t="s">
        <v>13</v>
      </c>
    </row>
    <row r="32" spans="1:10" x14ac:dyDescent="0.3">
      <c r="A32" t="s">
        <v>114</v>
      </c>
      <c r="B32" t="s">
        <v>115</v>
      </c>
      <c r="C32" t="s">
        <v>116</v>
      </c>
      <c r="D32" t="s">
        <v>28</v>
      </c>
      <c r="E32" s="1">
        <v>46073</v>
      </c>
      <c r="F32" t="s">
        <v>4</v>
      </c>
      <c r="G32" t="s">
        <v>66</v>
      </c>
      <c r="H32">
        <v>88</v>
      </c>
      <c r="I32" s="3">
        <v>25000</v>
      </c>
      <c r="J32" t="s">
        <v>13</v>
      </c>
    </row>
    <row r="33" spans="1:10" x14ac:dyDescent="0.3">
      <c r="A33" t="s">
        <v>117</v>
      </c>
      <c r="B33" t="s">
        <v>118</v>
      </c>
      <c r="C33" t="s">
        <v>119</v>
      </c>
      <c r="D33" t="s">
        <v>22</v>
      </c>
      <c r="E33" s="1">
        <v>46075</v>
      </c>
      <c r="F33" t="s">
        <v>34</v>
      </c>
      <c r="G33" t="s">
        <v>12</v>
      </c>
      <c r="H33">
        <v>75</v>
      </c>
      <c r="I33" s="3">
        <v>9000</v>
      </c>
      <c r="J33" t="s">
        <v>13</v>
      </c>
    </row>
    <row r="34" spans="1:10" x14ac:dyDescent="0.3">
      <c r="A34" t="s">
        <v>120</v>
      </c>
      <c r="B34" t="s">
        <v>121</v>
      </c>
      <c r="C34" t="s">
        <v>122</v>
      </c>
      <c r="D34" t="s">
        <v>17</v>
      </c>
      <c r="E34" s="1">
        <v>46076</v>
      </c>
      <c r="F34" t="s">
        <v>4</v>
      </c>
      <c r="G34" t="s">
        <v>5</v>
      </c>
      <c r="H34">
        <v>86</v>
      </c>
      <c r="I34" s="3">
        <v>17500</v>
      </c>
      <c r="J34" t="s">
        <v>6</v>
      </c>
    </row>
    <row r="35" spans="1:10" x14ac:dyDescent="0.3">
      <c r="A35" t="s">
        <v>123</v>
      </c>
      <c r="B35" t="s">
        <v>124</v>
      </c>
      <c r="C35" t="s">
        <v>125</v>
      </c>
      <c r="D35" t="s">
        <v>47</v>
      </c>
      <c r="E35" s="1">
        <v>46078</v>
      </c>
      <c r="F35" t="s">
        <v>11</v>
      </c>
      <c r="G35" t="s">
        <v>43</v>
      </c>
      <c r="H35">
        <v>77</v>
      </c>
      <c r="I35" s="3">
        <v>10500</v>
      </c>
      <c r="J35" t="s">
        <v>13</v>
      </c>
    </row>
    <row r="36" spans="1:10" x14ac:dyDescent="0.3">
      <c r="A36" t="s">
        <v>126</v>
      </c>
      <c r="B36" t="s">
        <v>127</v>
      </c>
      <c r="C36" t="s">
        <v>128</v>
      </c>
      <c r="D36" t="s">
        <v>3</v>
      </c>
      <c r="E36" s="1">
        <v>46079</v>
      </c>
      <c r="F36" t="s">
        <v>4</v>
      </c>
      <c r="G36" t="s">
        <v>18</v>
      </c>
      <c r="H36">
        <v>89</v>
      </c>
      <c r="I36" s="3">
        <v>21000</v>
      </c>
      <c r="J36" t="s">
        <v>13</v>
      </c>
    </row>
    <row r="37" spans="1:10" x14ac:dyDescent="0.3">
      <c r="A37" t="s">
        <v>129</v>
      </c>
      <c r="B37" t="s">
        <v>130</v>
      </c>
      <c r="C37" t="s">
        <v>131</v>
      </c>
      <c r="D37" t="s">
        <v>10</v>
      </c>
      <c r="E37" s="1">
        <v>46081</v>
      </c>
      <c r="F37" t="s">
        <v>23</v>
      </c>
      <c r="G37" t="s">
        <v>29</v>
      </c>
      <c r="H37">
        <v>58</v>
      </c>
      <c r="I37" s="3">
        <v>10000</v>
      </c>
      <c r="J37" t="s">
        <v>29</v>
      </c>
    </row>
    <row r="38" spans="1:10" x14ac:dyDescent="0.3">
      <c r="A38" t="s">
        <v>132</v>
      </c>
      <c r="B38" t="s">
        <v>133</v>
      </c>
      <c r="C38" t="s">
        <v>134</v>
      </c>
      <c r="D38" t="s">
        <v>17</v>
      </c>
      <c r="E38" s="1">
        <v>46083</v>
      </c>
      <c r="F38" t="s">
        <v>4</v>
      </c>
      <c r="G38" t="s">
        <v>12</v>
      </c>
      <c r="H38">
        <v>78</v>
      </c>
      <c r="I38" s="3">
        <v>13500</v>
      </c>
      <c r="J38" t="s">
        <v>13</v>
      </c>
    </row>
    <row r="39" spans="1:10" x14ac:dyDescent="0.3">
      <c r="A39" t="s">
        <v>135</v>
      </c>
      <c r="B39" t="s">
        <v>136</v>
      </c>
      <c r="C39" t="s">
        <v>137</v>
      </c>
      <c r="D39" t="s">
        <v>22</v>
      </c>
      <c r="E39" s="1">
        <v>46084</v>
      </c>
      <c r="F39" t="s">
        <v>4</v>
      </c>
      <c r="G39" t="s">
        <v>5</v>
      </c>
      <c r="H39">
        <v>90</v>
      </c>
      <c r="I39" s="3">
        <v>19000</v>
      </c>
      <c r="J39" t="s">
        <v>6</v>
      </c>
    </row>
    <row r="40" spans="1:10" x14ac:dyDescent="0.3">
      <c r="A40" t="s">
        <v>138</v>
      </c>
      <c r="B40" t="s">
        <v>139</v>
      </c>
      <c r="C40" t="s">
        <v>140</v>
      </c>
      <c r="D40" t="s">
        <v>28</v>
      </c>
      <c r="E40" s="1">
        <v>46086</v>
      </c>
      <c r="F40" t="s">
        <v>11</v>
      </c>
      <c r="G40" t="s">
        <v>66</v>
      </c>
      <c r="H40">
        <v>84</v>
      </c>
      <c r="I40" s="3">
        <v>17000</v>
      </c>
      <c r="J40" t="s">
        <v>13</v>
      </c>
    </row>
    <row r="41" spans="1:10" x14ac:dyDescent="0.3">
      <c r="A41" t="s">
        <v>141</v>
      </c>
      <c r="B41" t="s">
        <v>142</v>
      </c>
      <c r="C41" t="s">
        <v>143</v>
      </c>
      <c r="D41" t="s">
        <v>10</v>
      </c>
      <c r="E41" s="1">
        <v>46087</v>
      </c>
      <c r="F41" t="s">
        <v>34</v>
      </c>
      <c r="G41" t="s">
        <v>24</v>
      </c>
      <c r="H41">
        <v>66</v>
      </c>
      <c r="I41" s="3">
        <v>8500</v>
      </c>
      <c r="J41" t="s">
        <v>13</v>
      </c>
    </row>
    <row r="42" spans="1:10" x14ac:dyDescent="0.3">
      <c r="A42" t="s">
        <v>144</v>
      </c>
      <c r="B42" t="s">
        <v>145</v>
      </c>
      <c r="C42" t="s">
        <v>146</v>
      </c>
      <c r="D42" t="s">
        <v>17</v>
      </c>
      <c r="E42" s="1">
        <v>46089</v>
      </c>
      <c r="F42" t="s">
        <v>4</v>
      </c>
      <c r="G42" t="s">
        <v>18</v>
      </c>
      <c r="H42">
        <v>82</v>
      </c>
      <c r="I42" s="3">
        <v>16500</v>
      </c>
      <c r="J42" t="s">
        <v>13</v>
      </c>
    </row>
    <row r="43" spans="1:10" x14ac:dyDescent="0.3">
      <c r="A43" t="s">
        <v>147</v>
      </c>
      <c r="B43" t="s">
        <v>148</v>
      </c>
      <c r="C43" t="s">
        <v>149</v>
      </c>
      <c r="D43" t="s">
        <v>47</v>
      </c>
      <c r="E43" s="1">
        <v>46090</v>
      </c>
      <c r="F43" t="s">
        <v>39</v>
      </c>
      <c r="G43" t="s">
        <v>12</v>
      </c>
      <c r="H43">
        <v>70</v>
      </c>
      <c r="I43" s="3">
        <v>6500</v>
      </c>
      <c r="J43" t="s">
        <v>13</v>
      </c>
    </row>
    <row r="44" spans="1:10" x14ac:dyDescent="0.3">
      <c r="A44" t="s">
        <v>150</v>
      </c>
      <c r="B44" t="s">
        <v>151</v>
      </c>
      <c r="C44" t="s">
        <v>152</v>
      </c>
      <c r="D44" t="s">
        <v>17</v>
      </c>
      <c r="E44" s="1">
        <v>46092</v>
      </c>
      <c r="F44" t="s">
        <v>4</v>
      </c>
      <c r="G44" t="s">
        <v>5</v>
      </c>
      <c r="H44">
        <v>92</v>
      </c>
      <c r="I44" s="3">
        <v>27000</v>
      </c>
      <c r="J44" t="s">
        <v>6</v>
      </c>
    </row>
    <row r="45" spans="1:10" x14ac:dyDescent="0.3">
      <c r="A45" t="s">
        <v>153</v>
      </c>
      <c r="B45" t="s">
        <v>154</v>
      </c>
      <c r="C45" t="s">
        <v>155</v>
      </c>
      <c r="D45" t="s">
        <v>22</v>
      </c>
      <c r="E45" s="1">
        <v>46093</v>
      </c>
      <c r="F45" t="s">
        <v>4</v>
      </c>
      <c r="G45" t="s">
        <v>29</v>
      </c>
      <c r="H45">
        <v>54</v>
      </c>
      <c r="I45" s="3">
        <v>10000</v>
      </c>
      <c r="J45" t="s">
        <v>29</v>
      </c>
    </row>
    <row r="46" spans="1:10" x14ac:dyDescent="0.3">
      <c r="A46" t="s">
        <v>156</v>
      </c>
      <c r="B46" t="s">
        <v>157</v>
      </c>
      <c r="C46" t="s">
        <v>158</v>
      </c>
      <c r="D46" t="s">
        <v>38</v>
      </c>
      <c r="E46" s="1">
        <v>46095</v>
      </c>
      <c r="F46" t="s">
        <v>23</v>
      </c>
      <c r="G46" t="s">
        <v>12</v>
      </c>
      <c r="H46">
        <v>79</v>
      </c>
      <c r="I46" s="3">
        <v>14000</v>
      </c>
      <c r="J46" t="s">
        <v>13</v>
      </c>
    </row>
    <row r="47" spans="1:10" x14ac:dyDescent="0.3">
      <c r="A47" t="s">
        <v>159</v>
      </c>
      <c r="B47" t="s">
        <v>160</v>
      </c>
      <c r="C47" t="s">
        <v>161</v>
      </c>
      <c r="D47" t="s">
        <v>10</v>
      </c>
      <c r="E47" s="1">
        <v>46096</v>
      </c>
      <c r="F47" t="s">
        <v>4</v>
      </c>
      <c r="G47" t="s">
        <v>43</v>
      </c>
      <c r="H47">
        <v>81</v>
      </c>
      <c r="I47" s="3">
        <v>13000</v>
      </c>
      <c r="J47" t="s">
        <v>13</v>
      </c>
    </row>
    <row r="48" spans="1:10" x14ac:dyDescent="0.3">
      <c r="A48" t="s">
        <v>162</v>
      </c>
      <c r="B48" t="s">
        <v>163</v>
      </c>
      <c r="C48" t="s">
        <v>164</v>
      </c>
      <c r="D48" t="s">
        <v>17</v>
      </c>
      <c r="E48" s="1">
        <v>46098</v>
      </c>
      <c r="F48" t="s">
        <v>11</v>
      </c>
      <c r="G48" t="s">
        <v>18</v>
      </c>
      <c r="H48">
        <v>83</v>
      </c>
      <c r="I48" s="3">
        <v>16000</v>
      </c>
      <c r="J48" t="s">
        <v>13</v>
      </c>
    </row>
    <row r="49" spans="1:10" x14ac:dyDescent="0.3">
      <c r="A49" t="s">
        <v>165</v>
      </c>
      <c r="B49" t="s">
        <v>166</v>
      </c>
      <c r="C49" t="s">
        <v>167</v>
      </c>
      <c r="D49" t="s">
        <v>22</v>
      </c>
      <c r="E49" s="1">
        <v>46099</v>
      </c>
      <c r="F49" t="s">
        <v>34</v>
      </c>
      <c r="G49" t="s">
        <v>24</v>
      </c>
      <c r="I49" s="3">
        <v>8000</v>
      </c>
      <c r="J49" t="s">
        <v>168</v>
      </c>
    </row>
    <row r="50" spans="1:10" x14ac:dyDescent="0.3">
      <c r="A50" t="s">
        <v>169</v>
      </c>
      <c r="B50" t="s">
        <v>170</v>
      </c>
      <c r="C50" t="s">
        <v>171</v>
      </c>
      <c r="D50" t="s">
        <v>28</v>
      </c>
      <c r="E50" s="1">
        <v>46101</v>
      </c>
      <c r="F50" t="s">
        <v>4</v>
      </c>
      <c r="G50" t="s">
        <v>5</v>
      </c>
      <c r="H50">
        <v>85</v>
      </c>
      <c r="I50" s="3">
        <v>16500</v>
      </c>
      <c r="J50" t="s">
        <v>6</v>
      </c>
    </row>
    <row r="51" spans="1:10" x14ac:dyDescent="0.3">
      <c r="A51" t="s">
        <v>172</v>
      </c>
      <c r="B51" t="s">
        <v>173</v>
      </c>
      <c r="C51" t="s">
        <v>174</v>
      </c>
      <c r="D51" t="s">
        <v>10</v>
      </c>
      <c r="E51" s="1">
        <v>46102</v>
      </c>
      <c r="F51" t="s">
        <v>23</v>
      </c>
      <c r="G51" t="s">
        <v>12</v>
      </c>
      <c r="H51">
        <v>77</v>
      </c>
      <c r="I51" s="3">
        <v>12500</v>
      </c>
      <c r="J51" t="s">
        <v>13</v>
      </c>
    </row>
    <row r="52" spans="1:10" x14ac:dyDescent="0.3">
      <c r="A52" t="s">
        <v>175</v>
      </c>
      <c r="B52" t="s">
        <v>176</v>
      </c>
      <c r="C52" t="s">
        <v>177</v>
      </c>
      <c r="D52" t="s">
        <v>17</v>
      </c>
      <c r="E52" s="1">
        <v>46104</v>
      </c>
      <c r="F52" t="s">
        <v>4</v>
      </c>
      <c r="G52" t="s">
        <v>66</v>
      </c>
      <c r="H52">
        <v>88</v>
      </c>
      <c r="I52" s="3">
        <v>20000</v>
      </c>
      <c r="J52" t="s">
        <v>13</v>
      </c>
    </row>
    <row r="53" spans="1:10" x14ac:dyDescent="0.3">
      <c r="A53" t="s">
        <v>178</v>
      </c>
      <c r="B53" t="s">
        <v>179</v>
      </c>
      <c r="C53" t="s">
        <v>180</v>
      </c>
      <c r="D53" t="s">
        <v>22</v>
      </c>
      <c r="E53" s="1">
        <v>46105</v>
      </c>
      <c r="F53" t="s">
        <v>70</v>
      </c>
      <c r="G53" t="s">
        <v>29</v>
      </c>
      <c r="H53">
        <v>49</v>
      </c>
      <c r="I53" s="3">
        <v>7500</v>
      </c>
      <c r="J53" t="s">
        <v>29</v>
      </c>
    </row>
    <row r="54" spans="1:10" x14ac:dyDescent="0.3">
      <c r="A54" t="s">
        <v>181</v>
      </c>
      <c r="B54" t="s">
        <v>182</v>
      </c>
      <c r="C54" t="s">
        <v>183</v>
      </c>
      <c r="D54" t="s">
        <v>47</v>
      </c>
      <c r="E54" s="1">
        <v>46107</v>
      </c>
      <c r="F54" t="s">
        <v>4</v>
      </c>
      <c r="G54" t="s">
        <v>12</v>
      </c>
      <c r="H54">
        <v>76</v>
      </c>
      <c r="I54" s="3">
        <v>12500</v>
      </c>
      <c r="J54" t="s">
        <v>13</v>
      </c>
    </row>
    <row r="55" spans="1:10" x14ac:dyDescent="0.3">
      <c r="A55" t="s">
        <v>184</v>
      </c>
      <c r="B55" t="s">
        <v>185</v>
      </c>
      <c r="C55" t="s">
        <v>186</v>
      </c>
      <c r="D55" t="s">
        <v>10</v>
      </c>
      <c r="E55" s="1">
        <v>46108</v>
      </c>
      <c r="F55" t="s">
        <v>11</v>
      </c>
      <c r="G55" t="s">
        <v>5</v>
      </c>
      <c r="H55">
        <v>83</v>
      </c>
      <c r="I55" s="3">
        <v>11000</v>
      </c>
      <c r="J55" t="s">
        <v>6</v>
      </c>
    </row>
    <row r="56" spans="1:10" x14ac:dyDescent="0.3">
      <c r="A56" t="s">
        <v>187</v>
      </c>
      <c r="B56" t="s">
        <v>188</v>
      </c>
      <c r="C56" t="s">
        <v>189</v>
      </c>
      <c r="D56" t="s">
        <v>17</v>
      </c>
      <c r="E56" s="1">
        <v>46110</v>
      </c>
      <c r="F56" t="s">
        <v>4</v>
      </c>
      <c r="G56" t="s">
        <v>18</v>
      </c>
      <c r="H56">
        <v>85</v>
      </c>
      <c r="I56" s="3">
        <v>18000</v>
      </c>
      <c r="J56" t="s">
        <v>13</v>
      </c>
    </row>
    <row r="57" spans="1:10" x14ac:dyDescent="0.3">
      <c r="A57" t="s">
        <v>190</v>
      </c>
      <c r="B57" t="s">
        <v>191</v>
      </c>
      <c r="C57" t="s">
        <v>192</v>
      </c>
      <c r="D57" t="s">
        <v>22</v>
      </c>
      <c r="E57" s="1">
        <v>46111</v>
      </c>
      <c r="F57" t="s">
        <v>4</v>
      </c>
      <c r="G57" t="s">
        <v>43</v>
      </c>
      <c r="H57">
        <v>78</v>
      </c>
      <c r="I57" s="3">
        <v>11500</v>
      </c>
      <c r="J57" t="s">
        <v>13</v>
      </c>
    </row>
    <row r="58" spans="1:10" x14ac:dyDescent="0.3">
      <c r="A58" t="s">
        <v>193</v>
      </c>
      <c r="B58" t="s">
        <v>194</v>
      </c>
      <c r="C58" t="s">
        <v>195</v>
      </c>
      <c r="D58" t="s">
        <v>47</v>
      </c>
      <c r="E58" s="1">
        <v>46113</v>
      </c>
      <c r="F58" t="s">
        <v>39</v>
      </c>
      <c r="G58" t="s">
        <v>24</v>
      </c>
      <c r="H58">
        <v>64</v>
      </c>
      <c r="I58" s="3">
        <v>8500</v>
      </c>
      <c r="J58" t="s">
        <v>13</v>
      </c>
    </row>
    <row r="59" spans="1:10" x14ac:dyDescent="0.3">
      <c r="A59" t="s">
        <v>196</v>
      </c>
      <c r="B59" t="s">
        <v>197</v>
      </c>
      <c r="C59" t="s">
        <v>198</v>
      </c>
      <c r="D59" t="s">
        <v>28</v>
      </c>
      <c r="E59" s="1">
        <v>46114</v>
      </c>
      <c r="F59" t="s">
        <v>4</v>
      </c>
      <c r="G59" t="s">
        <v>12</v>
      </c>
      <c r="H59">
        <v>80</v>
      </c>
      <c r="I59" s="3">
        <v>14000</v>
      </c>
      <c r="J59" t="s">
        <v>13</v>
      </c>
    </row>
    <row r="60" spans="1:10" x14ac:dyDescent="0.3">
      <c r="A60" t="s">
        <v>199</v>
      </c>
      <c r="B60" t="s">
        <v>200</v>
      </c>
      <c r="C60" t="s">
        <v>201</v>
      </c>
      <c r="D60" t="s">
        <v>33</v>
      </c>
      <c r="E60" s="1">
        <v>46116</v>
      </c>
      <c r="F60" t="s">
        <v>4</v>
      </c>
      <c r="G60" t="s">
        <v>5</v>
      </c>
      <c r="H60">
        <v>91</v>
      </c>
      <c r="I60" s="3">
        <v>24000</v>
      </c>
      <c r="J60" t="s">
        <v>6</v>
      </c>
    </row>
    <row r="61" spans="1:10" x14ac:dyDescent="0.3">
      <c r="A61" t="s">
        <v>202</v>
      </c>
      <c r="B61" t="s">
        <v>203</v>
      </c>
      <c r="C61" t="s">
        <v>204</v>
      </c>
      <c r="D61" t="s">
        <v>47</v>
      </c>
      <c r="E61" s="1">
        <v>46117</v>
      </c>
      <c r="F61" t="s">
        <v>23</v>
      </c>
      <c r="G61" t="s">
        <v>66</v>
      </c>
      <c r="H61">
        <v>82</v>
      </c>
      <c r="I61" s="3">
        <v>12000</v>
      </c>
      <c r="J61" t="s">
        <v>13</v>
      </c>
    </row>
    <row r="62" spans="1:10" x14ac:dyDescent="0.3">
      <c r="A62" t="s">
        <v>205</v>
      </c>
      <c r="B62" t="s">
        <v>206</v>
      </c>
      <c r="C62" t="s">
        <v>207</v>
      </c>
      <c r="D62" t="s">
        <v>17</v>
      </c>
      <c r="E62" s="1">
        <v>46119</v>
      </c>
      <c r="F62" t="s">
        <v>4</v>
      </c>
      <c r="G62" t="s">
        <v>29</v>
      </c>
      <c r="H62">
        <v>56</v>
      </c>
      <c r="I62" s="3">
        <v>15000</v>
      </c>
      <c r="J62" t="s">
        <v>29</v>
      </c>
    </row>
    <row r="63" spans="1:10" x14ac:dyDescent="0.3">
      <c r="A63" t="s">
        <v>208</v>
      </c>
      <c r="B63" t="s">
        <v>209</v>
      </c>
      <c r="C63" t="s">
        <v>210</v>
      </c>
      <c r="D63" t="s">
        <v>22</v>
      </c>
      <c r="E63" s="1">
        <v>46120</v>
      </c>
      <c r="F63" t="s">
        <v>34</v>
      </c>
      <c r="G63" t="s">
        <v>12</v>
      </c>
      <c r="H63">
        <v>74</v>
      </c>
      <c r="I63" s="3">
        <v>10500</v>
      </c>
      <c r="J63" t="s">
        <v>13</v>
      </c>
    </row>
    <row r="64" spans="1:10" x14ac:dyDescent="0.3">
      <c r="A64" t="s">
        <v>211</v>
      </c>
      <c r="B64" t="s">
        <v>212</v>
      </c>
      <c r="C64" t="s">
        <v>213</v>
      </c>
      <c r="D64" t="s">
        <v>38</v>
      </c>
      <c r="E64" s="1">
        <v>46122</v>
      </c>
      <c r="F64" t="s">
        <v>11</v>
      </c>
      <c r="G64" t="s">
        <v>24</v>
      </c>
      <c r="H64">
        <v>68</v>
      </c>
      <c r="I64" s="3">
        <v>8500</v>
      </c>
      <c r="J64" t="s">
        <v>13</v>
      </c>
    </row>
    <row r="65" spans="1:10" x14ac:dyDescent="0.3">
      <c r="A65" t="s">
        <v>214</v>
      </c>
      <c r="B65" t="s">
        <v>215</v>
      </c>
      <c r="C65" t="s">
        <v>216</v>
      </c>
      <c r="D65" t="s">
        <v>10</v>
      </c>
      <c r="E65" s="1">
        <v>46123</v>
      </c>
      <c r="F65" t="s">
        <v>4</v>
      </c>
      <c r="G65" t="s">
        <v>5</v>
      </c>
      <c r="H65">
        <v>86</v>
      </c>
      <c r="I65" s="3">
        <v>14500</v>
      </c>
      <c r="J65" t="s">
        <v>6</v>
      </c>
    </row>
    <row r="66" spans="1:10" x14ac:dyDescent="0.3">
      <c r="A66" t="s">
        <v>217</v>
      </c>
      <c r="B66" t="s">
        <v>218</v>
      </c>
      <c r="C66" t="s">
        <v>219</v>
      </c>
      <c r="D66" t="s">
        <v>17</v>
      </c>
      <c r="E66" s="1">
        <v>46125</v>
      </c>
      <c r="F66" t="s">
        <v>4</v>
      </c>
      <c r="G66" t="s">
        <v>18</v>
      </c>
      <c r="H66">
        <v>84</v>
      </c>
      <c r="I66" s="3">
        <v>19500</v>
      </c>
      <c r="J66" t="s">
        <v>13</v>
      </c>
    </row>
    <row r="67" spans="1:10" x14ac:dyDescent="0.3">
      <c r="A67" t="s">
        <v>220</v>
      </c>
      <c r="B67" t="s">
        <v>221</v>
      </c>
      <c r="C67" t="s">
        <v>222</v>
      </c>
      <c r="D67" t="s">
        <v>22</v>
      </c>
      <c r="E67" s="1">
        <v>46126</v>
      </c>
      <c r="F67" t="s">
        <v>23</v>
      </c>
      <c r="G67" t="s">
        <v>12</v>
      </c>
      <c r="H67">
        <v>76</v>
      </c>
      <c r="I67" s="3">
        <v>9500</v>
      </c>
      <c r="J67" t="s">
        <v>13</v>
      </c>
    </row>
    <row r="68" spans="1:10" x14ac:dyDescent="0.3">
      <c r="A68" t="s">
        <v>223</v>
      </c>
      <c r="B68" t="s">
        <v>224</v>
      </c>
      <c r="C68" t="s">
        <v>225</v>
      </c>
      <c r="D68" t="s">
        <v>28</v>
      </c>
      <c r="E68" s="1">
        <v>46128</v>
      </c>
      <c r="F68" t="s">
        <v>4</v>
      </c>
      <c r="G68" t="s">
        <v>43</v>
      </c>
      <c r="H68">
        <v>79</v>
      </c>
      <c r="I68" s="3">
        <v>15500</v>
      </c>
      <c r="J68" t="s">
        <v>13</v>
      </c>
    </row>
    <row r="69" spans="1:10" x14ac:dyDescent="0.3">
      <c r="A69" t="s">
        <v>226</v>
      </c>
      <c r="B69" t="s">
        <v>227</v>
      </c>
      <c r="C69" t="s">
        <v>228</v>
      </c>
      <c r="D69" t="s">
        <v>10</v>
      </c>
      <c r="E69" s="1">
        <v>46129</v>
      </c>
      <c r="F69" t="s">
        <v>11</v>
      </c>
      <c r="G69" t="s">
        <v>24</v>
      </c>
      <c r="I69" s="3">
        <v>9000</v>
      </c>
      <c r="J69" t="s">
        <v>168</v>
      </c>
    </row>
    <row r="70" spans="1:10" x14ac:dyDescent="0.3">
      <c r="A70" t="s">
        <v>229</v>
      </c>
      <c r="B70" t="s">
        <v>230</v>
      </c>
      <c r="C70" t="s">
        <v>231</v>
      </c>
      <c r="D70" t="s">
        <v>3</v>
      </c>
      <c r="E70" s="1">
        <v>46131</v>
      </c>
      <c r="F70" t="s">
        <v>4</v>
      </c>
      <c r="G70" t="s">
        <v>5</v>
      </c>
      <c r="H70">
        <v>93</v>
      </c>
      <c r="I70" s="3">
        <v>24000</v>
      </c>
      <c r="J70" t="s">
        <v>6</v>
      </c>
    </row>
    <row r="71" spans="1:10" x14ac:dyDescent="0.3">
      <c r="A71" t="s">
        <v>232</v>
      </c>
      <c r="B71" t="s">
        <v>233</v>
      </c>
      <c r="C71" t="s">
        <v>234</v>
      </c>
      <c r="D71" t="s">
        <v>22</v>
      </c>
      <c r="E71" s="1">
        <v>46132</v>
      </c>
      <c r="F71" t="s">
        <v>34</v>
      </c>
      <c r="G71" t="s">
        <v>66</v>
      </c>
      <c r="H71">
        <v>87</v>
      </c>
      <c r="I71" s="3">
        <v>17000</v>
      </c>
      <c r="J71" t="s">
        <v>13</v>
      </c>
    </row>
    <row r="72" spans="1:10" x14ac:dyDescent="0.3">
      <c r="A72" t="s">
        <v>235</v>
      </c>
      <c r="B72" t="s">
        <v>236</v>
      </c>
      <c r="C72" t="s">
        <v>237</v>
      </c>
      <c r="D72" t="s">
        <v>17</v>
      </c>
      <c r="E72" s="1">
        <v>46134</v>
      </c>
      <c r="F72" t="s">
        <v>4</v>
      </c>
      <c r="G72" t="s">
        <v>29</v>
      </c>
      <c r="H72">
        <v>53</v>
      </c>
      <c r="I72" s="3">
        <v>13500</v>
      </c>
      <c r="J72" t="s">
        <v>29</v>
      </c>
    </row>
    <row r="73" spans="1:10" x14ac:dyDescent="0.3">
      <c r="A73" t="s">
        <v>238</v>
      </c>
      <c r="B73" t="s">
        <v>239</v>
      </c>
      <c r="C73" t="s">
        <v>240</v>
      </c>
      <c r="D73" t="s">
        <v>10</v>
      </c>
      <c r="E73" s="1">
        <v>46135</v>
      </c>
      <c r="F73" t="s">
        <v>23</v>
      </c>
      <c r="G73" t="s">
        <v>12</v>
      </c>
      <c r="H73">
        <v>77</v>
      </c>
      <c r="I73" s="3">
        <v>11000</v>
      </c>
      <c r="J73" t="s">
        <v>13</v>
      </c>
    </row>
    <row r="74" spans="1:10" x14ac:dyDescent="0.3">
      <c r="A74" t="s">
        <v>241</v>
      </c>
      <c r="B74" t="s">
        <v>242</v>
      </c>
      <c r="C74" t="s">
        <v>243</v>
      </c>
      <c r="D74" t="s">
        <v>38</v>
      </c>
      <c r="E74" s="1">
        <v>46137</v>
      </c>
      <c r="F74" t="s">
        <v>4</v>
      </c>
      <c r="G74" t="s">
        <v>18</v>
      </c>
      <c r="H74">
        <v>81</v>
      </c>
      <c r="I74" s="3">
        <v>16000</v>
      </c>
      <c r="J74" t="s">
        <v>13</v>
      </c>
    </row>
    <row r="75" spans="1:10" x14ac:dyDescent="0.3">
      <c r="A75" t="s">
        <v>244</v>
      </c>
      <c r="B75" t="s">
        <v>245</v>
      </c>
      <c r="C75" t="s">
        <v>246</v>
      </c>
      <c r="D75" t="s">
        <v>28</v>
      </c>
      <c r="E75" s="1">
        <v>46138</v>
      </c>
      <c r="F75" t="s">
        <v>11</v>
      </c>
      <c r="G75" t="s">
        <v>5</v>
      </c>
      <c r="H75">
        <v>85</v>
      </c>
      <c r="I75" s="3">
        <v>15500</v>
      </c>
      <c r="J75" t="s">
        <v>6</v>
      </c>
    </row>
    <row r="76" spans="1:10" x14ac:dyDescent="0.3">
      <c r="A76" t="s">
        <v>247</v>
      </c>
      <c r="B76" t="s">
        <v>248</v>
      </c>
      <c r="C76" t="s">
        <v>249</v>
      </c>
      <c r="D76" t="s">
        <v>17</v>
      </c>
      <c r="E76" s="1">
        <v>46140</v>
      </c>
      <c r="F76" t="s">
        <v>39</v>
      </c>
      <c r="G76" t="s">
        <v>24</v>
      </c>
      <c r="H76">
        <v>63</v>
      </c>
      <c r="I76" s="3">
        <v>8000</v>
      </c>
      <c r="J76" t="s">
        <v>13</v>
      </c>
    </row>
    <row r="77" spans="1:10" x14ac:dyDescent="0.3">
      <c r="A77" t="s">
        <v>250</v>
      </c>
      <c r="B77" t="s">
        <v>251</v>
      </c>
      <c r="C77" t="s">
        <v>252</v>
      </c>
      <c r="D77" t="s">
        <v>33</v>
      </c>
      <c r="E77" s="1">
        <v>46141</v>
      </c>
      <c r="F77" t="s">
        <v>113</v>
      </c>
      <c r="G77" t="s">
        <v>12</v>
      </c>
      <c r="H77">
        <v>82</v>
      </c>
      <c r="I77" s="3">
        <v>15000</v>
      </c>
      <c r="J77" t="s">
        <v>13</v>
      </c>
    </row>
    <row r="78" spans="1:10" x14ac:dyDescent="0.3">
      <c r="A78" t="s">
        <v>253</v>
      </c>
      <c r="B78" t="s">
        <v>254</v>
      </c>
      <c r="C78" t="s">
        <v>255</v>
      </c>
      <c r="D78" t="s">
        <v>47</v>
      </c>
      <c r="E78" s="1">
        <v>46143</v>
      </c>
      <c r="F78" t="s">
        <v>4</v>
      </c>
      <c r="G78" t="s">
        <v>66</v>
      </c>
      <c r="H78">
        <v>86</v>
      </c>
      <c r="I78" s="3">
        <v>19500</v>
      </c>
      <c r="J78" t="s">
        <v>13</v>
      </c>
    </row>
    <row r="79" spans="1:10" x14ac:dyDescent="0.3">
      <c r="A79" t="s">
        <v>256</v>
      </c>
      <c r="B79" t="s">
        <v>257</v>
      </c>
      <c r="C79" t="s">
        <v>258</v>
      </c>
      <c r="D79" t="s">
        <v>22</v>
      </c>
      <c r="E79" s="1">
        <v>46144</v>
      </c>
      <c r="F79" t="s">
        <v>34</v>
      </c>
      <c r="G79" t="s">
        <v>29</v>
      </c>
      <c r="H79">
        <v>51</v>
      </c>
      <c r="I79" s="3">
        <v>8000</v>
      </c>
      <c r="J79" t="s">
        <v>29</v>
      </c>
    </row>
    <row r="80" spans="1:10" x14ac:dyDescent="0.3">
      <c r="A80" t="s">
        <v>259</v>
      </c>
      <c r="B80" t="s">
        <v>260</v>
      </c>
      <c r="C80" t="s">
        <v>2</v>
      </c>
      <c r="D80" t="s">
        <v>3</v>
      </c>
      <c r="E80" s="1">
        <v>46146</v>
      </c>
      <c r="F80" t="s">
        <v>4</v>
      </c>
      <c r="G80" t="s">
        <v>5</v>
      </c>
      <c r="H80">
        <v>88</v>
      </c>
      <c r="I80" s="3">
        <v>14500</v>
      </c>
      <c r="J80" t="s">
        <v>6</v>
      </c>
    </row>
    <row r="81" spans="1:10" x14ac:dyDescent="0.3">
      <c r="A81" t="s">
        <v>261</v>
      </c>
      <c r="B81" t="s">
        <v>262</v>
      </c>
      <c r="C81" t="s">
        <v>263</v>
      </c>
      <c r="D81" t="s">
        <v>10</v>
      </c>
      <c r="E81" s="1">
        <v>46147</v>
      </c>
      <c r="F81" t="s">
        <v>23</v>
      </c>
      <c r="G81" t="s">
        <v>43</v>
      </c>
      <c r="H81">
        <v>80</v>
      </c>
      <c r="I81" s="3">
        <v>14000</v>
      </c>
      <c r="J81" t="s">
        <v>13</v>
      </c>
    </row>
    <row r="82" spans="1:10" x14ac:dyDescent="0.3">
      <c r="A82" t="s">
        <v>264</v>
      </c>
      <c r="B82" t="s">
        <v>265</v>
      </c>
      <c r="C82" t="s">
        <v>91</v>
      </c>
      <c r="D82" t="s">
        <v>17</v>
      </c>
      <c r="E82" s="1">
        <v>46149</v>
      </c>
      <c r="F82" t="s">
        <v>4</v>
      </c>
      <c r="G82" t="s">
        <v>18</v>
      </c>
      <c r="H82">
        <v>83</v>
      </c>
      <c r="I82" s="3">
        <v>16500</v>
      </c>
      <c r="J82" t="s">
        <v>13</v>
      </c>
    </row>
    <row r="83" spans="1:10" x14ac:dyDescent="0.3">
      <c r="A83" t="s">
        <v>266</v>
      </c>
      <c r="B83" t="s">
        <v>267</v>
      </c>
      <c r="C83" t="s">
        <v>268</v>
      </c>
      <c r="D83" t="s">
        <v>47</v>
      </c>
      <c r="E83" s="1">
        <v>46150</v>
      </c>
      <c r="F83" t="s">
        <v>11</v>
      </c>
      <c r="G83" t="s">
        <v>12</v>
      </c>
      <c r="H83">
        <v>69</v>
      </c>
      <c r="I83" s="3">
        <v>7000</v>
      </c>
      <c r="J83" t="s">
        <v>13</v>
      </c>
    </row>
    <row r="84" spans="1:10" x14ac:dyDescent="0.3">
      <c r="A84" t="s">
        <v>269</v>
      </c>
      <c r="B84" t="s">
        <v>270</v>
      </c>
      <c r="C84" t="s">
        <v>271</v>
      </c>
      <c r="D84" t="s">
        <v>28</v>
      </c>
      <c r="E84" s="1">
        <v>46152</v>
      </c>
      <c r="F84" t="s">
        <v>4</v>
      </c>
      <c r="G84" t="s">
        <v>5</v>
      </c>
      <c r="H84">
        <v>87</v>
      </c>
      <c r="I84" s="3">
        <v>17500</v>
      </c>
      <c r="J84" t="s">
        <v>6</v>
      </c>
    </row>
    <row r="85" spans="1:10" x14ac:dyDescent="0.3">
      <c r="A85" t="s">
        <v>272</v>
      </c>
      <c r="B85" t="s">
        <v>273</v>
      </c>
      <c r="C85" t="s">
        <v>274</v>
      </c>
      <c r="D85" t="s">
        <v>10</v>
      </c>
      <c r="E85" s="1">
        <v>46153</v>
      </c>
      <c r="F85" t="s">
        <v>34</v>
      </c>
      <c r="G85" t="s">
        <v>24</v>
      </c>
      <c r="H85">
        <v>67</v>
      </c>
      <c r="I85" s="3">
        <v>9500</v>
      </c>
      <c r="J85" t="s">
        <v>13</v>
      </c>
    </row>
    <row r="86" spans="1:10" x14ac:dyDescent="0.3">
      <c r="A86" t="s">
        <v>275</v>
      </c>
      <c r="B86" t="s">
        <v>276</v>
      </c>
      <c r="C86" t="s">
        <v>277</v>
      </c>
      <c r="D86" t="s">
        <v>17</v>
      </c>
      <c r="E86" s="1">
        <v>46155</v>
      </c>
      <c r="F86" t="s">
        <v>4</v>
      </c>
      <c r="G86" t="s">
        <v>66</v>
      </c>
      <c r="H86">
        <v>85</v>
      </c>
      <c r="I86" s="3">
        <v>18500</v>
      </c>
      <c r="J86" t="s">
        <v>13</v>
      </c>
    </row>
    <row r="87" spans="1:10" x14ac:dyDescent="0.3">
      <c r="A87" t="s">
        <v>278</v>
      </c>
      <c r="B87" t="s">
        <v>279</v>
      </c>
      <c r="C87" t="s">
        <v>280</v>
      </c>
      <c r="D87" t="s">
        <v>22</v>
      </c>
      <c r="E87" s="1">
        <v>46156</v>
      </c>
      <c r="F87" t="s">
        <v>4</v>
      </c>
      <c r="G87" t="s">
        <v>12</v>
      </c>
      <c r="H87">
        <v>78</v>
      </c>
      <c r="I87" s="3">
        <v>11500</v>
      </c>
      <c r="J87" t="s">
        <v>13</v>
      </c>
    </row>
    <row r="88" spans="1:10" x14ac:dyDescent="0.3">
      <c r="A88" t="s">
        <v>281</v>
      </c>
      <c r="B88" t="s">
        <v>282</v>
      </c>
      <c r="C88" t="s">
        <v>283</v>
      </c>
      <c r="D88" t="s">
        <v>28</v>
      </c>
      <c r="E88" s="1">
        <v>46158</v>
      </c>
      <c r="F88" t="s">
        <v>11</v>
      </c>
      <c r="G88" t="s">
        <v>29</v>
      </c>
      <c r="H88">
        <v>57</v>
      </c>
      <c r="I88" s="3">
        <v>18000</v>
      </c>
      <c r="J88" t="s">
        <v>29</v>
      </c>
    </row>
    <row r="89" spans="1:10" x14ac:dyDescent="0.3">
      <c r="A89" t="s">
        <v>284</v>
      </c>
      <c r="B89" t="s">
        <v>285</v>
      </c>
      <c r="C89" t="s">
        <v>286</v>
      </c>
      <c r="D89" t="s">
        <v>10</v>
      </c>
      <c r="E89" s="1">
        <v>46159</v>
      </c>
      <c r="F89" t="s">
        <v>23</v>
      </c>
      <c r="G89" t="s">
        <v>5</v>
      </c>
      <c r="H89">
        <v>82</v>
      </c>
      <c r="I89" s="3">
        <v>11500</v>
      </c>
      <c r="J89" t="s">
        <v>6</v>
      </c>
    </row>
    <row r="90" spans="1:10" x14ac:dyDescent="0.3">
      <c r="A90" t="s">
        <v>287</v>
      </c>
      <c r="B90" t="s">
        <v>288</v>
      </c>
      <c r="C90" t="s">
        <v>289</v>
      </c>
      <c r="D90" t="s">
        <v>3</v>
      </c>
      <c r="E90" s="1">
        <v>46161</v>
      </c>
      <c r="F90" t="s">
        <v>4</v>
      </c>
      <c r="G90" t="s">
        <v>18</v>
      </c>
      <c r="H90">
        <v>90</v>
      </c>
      <c r="I90" s="3">
        <v>22000</v>
      </c>
      <c r="J90" t="s">
        <v>13</v>
      </c>
    </row>
    <row r="91" spans="1:10" x14ac:dyDescent="0.3">
      <c r="A91" t="s">
        <v>290</v>
      </c>
      <c r="B91" t="s">
        <v>291</v>
      </c>
      <c r="C91" t="s">
        <v>292</v>
      </c>
      <c r="D91" t="s">
        <v>22</v>
      </c>
      <c r="E91" s="1">
        <v>46162</v>
      </c>
      <c r="F91" t="s">
        <v>34</v>
      </c>
      <c r="G91" t="s">
        <v>43</v>
      </c>
      <c r="H91">
        <v>79</v>
      </c>
      <c r="I91" s="3">
        <v>11000</v>
      </c>
      <c r="J91" t="s">
        <v>13</v>
      </c>
    </row>
    <row r="92" spans="1:10" x14ac:dyDescent="0.3">
      <c r="A92" t="s">
        <v>293</v>
      </c>
      <c r="B92" t="s">
        <v>294</v>
      </c>
      <c r="C92" t="s">
        <v>295</v>
      </c>
      <c r="D92" t="s">
        <v>38</v>
      </c>
      <c r="E92" s="1">
        <v>46164</v>
      </c>
      <c r="F92" t="s">
        <v>39</v>
      </c>
      <c r="G92" t="s">
        <v>24</v>
      </c>
      <c r="H92">
        <v>66</v>
      </c>
      <c r="I92" s="3">
        <v>9000</v>
      </c>
      <c r="J92" t="s">
        <v>13</v>
      </c>
    </row>
    <row r="93" spans="1:10" x14ac:dyDescent="0.3">
      <c r="A93" t="s">
        <v>296</v>
      </c>
      <c r="B93" t="s">
        <v>297</v>
      </c>
      <c r="C93" t="s">
        <v>298</v>
      </c>
      <c r="D93" t="s">
        <v>33</v>
      </c>
      <c r="E93" s="1">
        <v>46165</v>
      </c>
      <c r="F93" t="s">
        <v>4</v>
      </c>
      <c r="G93" t="s">
        <v>12</v>
      </c>
      <c r="H93">
        <v>84</v>
      </c>
      <c r="I93" s="3">
        <v>15500</v>
      </c>
      <c r="J93" t="s">
        <v>13</v>
      </c>
    </row>
    <row r="94" spans="1:10" x14ac:dyDescent="0.3">
      <c r="A94" t="s">
        <v>299</v>
      </c>
      <c r="B94" t="s">
        <v>300</v>
      </c>
      <c r="C94" t="s">
        <v>301</v>
      </c>
      <c r="D94" t="s">
        <v>17</v>
      </c>
      <c r="E94" s="1">
        <v>46167</v>
      </c>
      <c r="F94" t="s">
        <v>4</v>
      </c>
      <c r="G94" t="s">
        <v>5</v>
      </c>
      <c r="H94">
        <v>89</v>
      </c>
      <c r="I94" s="3">
        <v>23000</v>
      </c>
      <c r="J94" t="s">
        <v>6</v>
      </c>
    </row>
    <row r="95" spans="1:10" x14ac:dyDescent="0.3">
      <c r="A95" t="s">
        <v>302</v>
      </c>
      <c r="B95" t="s">
        <v>303</v>
      </c>
      <c r="C95" t="s">
        <v>304</v>
      </c>
      <c r="D95" t="s">
        <v>10</v>
      </c>
      <c r="E95" s="1">
        <v>46168</v>
      </c>
      <c r="F95" t="s">
        <v>11</v>
      </c>
      <c r="G95" t="s">
        <v>66</v>
      </c>
      <c r="H95">
        <v>83</v>
      </c>
      <c r="I95" s="3">
        <v>14500</v>
      </c>
      <c r="J95" t="s">
        <v>13</v>
      </c>
    </row>
    <row r="96" spans="1:10" x14ac:dyDescent="0.3">
      <c r="A96" t="s">
        <v>305</v>
      </c>
      <c r="B96" t="s">
        <v>306</v>
      </c>
      <c r="C96" t="s">
        <v>2</v>
      </c>
      <c r="D96" t="s">
        <v>3</v>
      </c>
      <c r="E96" s="1">
        <v>46170</v>
      </c>
      <c r="F96" t="s">
        <v>4</v>
      </c>
      <c r="G96" t="s">
        <v>29</v>
      </c>
      <c r="H96">
        <v>54</v>
      </c>
      <c r="I96" s="3">
        <v>13000</v>
      </c>
      <c r="J96" t="s">
        <v>29</v>
      </c>
    </row>
    <row r="97" spans="1:10" x14ac:dyDescent="0.3">
      <c r="A97" t="s">
        <v>307</v>
      </c>
      <c r="B97" t="s">
        <v>308</v>
      </c>
      <c r="C97" t="s">
        <v>309</v>
      </c>
      <c r="D97" t="s">
        <v>22</v>
      </c>
      <c r="E97" s="1">
        <v>46171</v>
      </c>
      <c r="F97" t="s">
        <v>4</v>
      </c>
      <c r="G97" t="s">
        <v>66</v>
      </c>
      <c r="H97">
        <v>92</v>
      </c>
      <c r="I97" s="3">
        <v>30000</v>
      </c>
      <c r="J97" t="s">
        <v>13</v>
      </c>
    </row>
    <row r="98" spans="1:10" x14ac:dyDescent="0.3">
      <c r="A98" t="s">
        <v>310</v>
      </c>
      <c r="B98" t="s">
        <v>311</v>
      </c>
      <c r="C98" t="s">
        <v>312</v>
      </c>
      <c r="D98" t="s">
        <v>17</v>
      </c>
      <c r="E98" s="1">
        <v>46173</v>
      </c>
      <c r="F98" t="s">
        <v>39</v>
      </c>
      <c r="G98" t="s">
        <v>12</v>
      </c>
      <c r="H98">
        <v>71</v>
      </c>
      <c r="I98" s="3">
        <v>8500</v>
      </c>
      <c r="J98" t="s">
        <v>13</v>
      </c>
    </row>
    <row r="99" spans="1:10" x14ac:dyDescent="0.3">
      <c r="A99" t="s">
        <v>313</v>
      </c>
      <c r="B99" t="s">
        <v>314</v>
      </c>
      <c r="C99" t="s">
        <v>315</v>
      </c>
      <c r="D99" t="s">
        <v>10</v>
      </c>
      <c r="E99" s="1">
        <v>46174</v>
      </c>
      <c r="F99" t="s">
        <v>34</v>
      </c>
      <c r="G99" t="s">
        <v>24</v>
      </c>
      <c r="H99">
        <v>65</v>
      </c>
      <c r="I99" s="3">
        <v>8500</v>
      </c>
      <c r="J99" t="s">
        <v>13</v>
      </c>
    </row>
    <row r="100" spans="1:10" x14ac:dyDescent="0.3">
      <c r="A100" t="s">
        <v>316</v>
      </c>
      <c r="B100" t="s">
        <v>317</v>
      </c>
      <c r="C100" t="s">
        <v>318</v>
      </c>
      <c r="D100" t="s">
        <v>3</v>
      </c>
      <c r="E100" s="1">
        <v>46176</v>
      </c>
      <c r="F100" t="s">
        <v>4</v>
      </c>
      <c r="G100" t="s">
        <v>5</v>
      </c>
      <c r="H100">
        <v>87</v>
      </c>
      <c r="I100" s="3">
        <v>18500</v>
      </c>
      <c r="J100" t="s">
        <v>6</v>
      </c>
    </row>
    <row r="101" spans="1:10" x14ac:dyDescent="0.3">
      <c r="A101" t="s">
        <v>319</v>
      </c>
      <c r="B101" t="s">
        <v>320</v>
      </c>
      <c r="C101" t="s">
        <v>321</v>
      </c>
      <c r="D101" t="s">
        <v>33</v>
      </c>
      <c r="E101" s="1">
        <v>46177</v>
      </c>
      <c r="F101" t="s">
        <v>70</v>
      </c>
      <c r="G101" t="s">
        <v>18</v>
      </c>
      <c r="H101">
        <v>81</v>
      </c>
      <c r="I101" s="3">
        <v>13500</v>
      </c>
      <c r="J101" t="s">
        <v>13</v>
      </c>
    </row>
    <row r="102" spans="1:10" x14ac:dyDescent="0.3">
      <c r="A102" t="s">
        <v>322</v>
      </c>
      <c r="B102" t="s">
        <v>323</v>
      </c>
      <c r="C102" t="s">
        <v>324</v>
      </c>
      <c r="D102" t="s">
        <v>38</v>
      </c>
      <c r="E102" s="1">
        <v>46179</v>
      </c>
      <c r="F102" t="s">
        <v>4</v>
      </c>
      <c r="G102" t="s">
        <v>66</v>
      </c>
      <c r="H102">
        <v>90</v>
      </c>
      <c r="I102" s="3">
        <v>28000</v>
      </c>
      <c r="J102" t="s">
        <v>13</v>
      </c>
    </row>
    <row r="103" spans="1:10" x14ac:dyDescent="0.3">
      <c r="A103" t="s">
        <v>325</v>
      </c>
      <c r="B103" t="s">
        <v>326</v>
      </c>
      <c r="C103" t="s">
        <v>327</v>
      </c>
      <c r="D103" t="s">
        <v>10</v>
      </c>
      <c r="E103" s="1">
        <v>46180</v>
      </c>
      <c r="F103" t="s">
        <v>23</v>
      </c>
      <c r="G103" t="s">
        <v>5</v>
      </c>
      <c r="H103">
        <v>89</v>
      </c>
      <c r="I103" s="3">
        <v>22000</v>
      </c>
      <c r="J103" t="s">
        <v>6</v>
      </c>
    </row>
    <row r="104" spans="1:10" x14ac:dyDescent="0.3">
      <c r="A104" t="s">
        <v>328</v>
      </c>
      <c r="B104" t="s">
        <v>329</v>
      </c>
      <c r="C104" t="s">
        <v>330</v>
      </c>
      <c r="D104" t="s">
        <v>17</v>
      </c>
      <c r="E104" s="1">
        <v>46182</v>
      </c>
      <c r="F104" t="s">
        <v>4</v>
      </c>
      <c r="G104" t="s">
        <v>18</v>
      </c>
      <c r="H104">
        <v>86</v>
      </c>
      <c r="I104" s="3">
        <v>20000</v>
      </c>
      <c r="J104" t="s">
        <v>13</v>
      </c>
    </row>
    <row r="105" spans="1:10" x14ac:dyDescent="0.3">
      <c r="A105" t="s">
        <v>331</v>
      </c>
      <c r="B105" t="s">
        <v>332</v>
      </c>
      <c r="C105" t="s">
        <v>333</v>
      </c>
      <c r="D105" t="s">
        <v>22</v>
      </c>
      <c r="E105" s="1">
        <v>46183</v>
      </c>
      <c r="F105" t="s">
        <v>34</v>
      </c>
      <c r="G105" t="s">
        <v>12</v>
      </c>
      <c r="H105">
        <v>80</v>
      </c>
      <c r="I105" s="3">
        <v>12500</v>
      </c>
      <c r="J105" t="s">
        <v>13</v>
      </c>
    </row>
    <row r="106" spans="1:10" x14ac:dyDescent="0.3">
      <c r="A106" t="s">
        <v>334</v>
      </c>
      <c r="B106" t="s">
        <v>335</v>
      </c>
      <c r="C106" t="s">
        <v>336</v>
      </c>
      <c r="D106" t="s">
        <v>28</v>
      </c>
      <c r="E106" s="1">
        <v>46185</v>
      </c>
      <c r="F106" t="s">
        <v>11</v>
      </c>
      <c r="G106" t="s">
        <v>43</v>
      </c>
      <c r="H106">
        <v>77</v>
      </c>
      <c r="I106" s="3">
        <v>13000</v>
      </c>
      <c r="J106" t="s">
        <v>13</v>
      </c>
    </row>
    <row r="107" spans="1:10" x14ac:dyDescent="0.3">
      <c r="A107" t="s">
        <v>337</v>
      </c>
      <c r="B107" t="s">
        <v>338</v>
      </c>
      <c r="C107" t="s">
        <v>339</v>
      </c>
      <c r="D107" t="s">
        <v>10</v>
      </c>
      <c r="E107" s="1">
        <v>46186</v>
      </c>
      <c r="F107" t="s">
        <v>4</v>
      </c>
      <c r="G107" t="s">
        <v>66</v>
      </c>
      <c r="H107">
        <v>88</v>
      </c>
      <c r="I107" s="3">
        <v>18000</v>
      </c>
      <c r="J107" t="s">
        <v>13</v>
      </c>
    </row>
    <row r="108" spans="1:10" x14ac:dyDescent="0.3">
      <c r="A108" t="s">
        <v>340</v>
      </c>
      <c r="B108" t="s">
        <v>341</v>
      </c>
      <c r="C108" t="s">
        <v>342</v>
      </c>
      <c r="D108" t="s">
        <v>17</v>
      </c>
      <c r="E108" s="1">
        <v>46188</v>
      </c>
      <c r="F108" t="s">
        <v>4</v>
      </c>
      <c r="G108" t="s">
        <v>29</v>
      </c>
      <c r="H108">
        <v>55</v>
      </c>
      <c r="I108" s="3">
        <v>16000</v>
      </c>
      <c r="J108" t="s">
        <v>29</v>
      </c>
    </row>
    <row r="109" spans="1:10" x14ac:dyDescent="0.3">
      <c r="A109" t="s">
        <v>343</v>
      </c>
      <c r="B109" t="s">
        <v>344</v>
      </c>
      <c r="C109" t="s">
        <v>21</v>
      </c>
      <c r="D109" t="s">
        <v>22</v>
      </c>
      <c r="E109" s="1">
        <v>46189</v>
      </c>
      <c r="F109" t="s">
        <v>39</v>
      </c>
      <c r="G109" t="s">
        <v>24</v>
      </c>
      <c r="I109" s="3">
        <v>8500</v>
      </c>
      <c r="J109" t="s">
        <v>168</v>
      </c>
    </row>
    <row r="110" spans="1:10" x14ac:dyDescent="0.3">
      <c r="A110" t="s">
        <v>345</v>
      </c>
      <c r="B110" t="s">
        <v>346</v>
      </c>
      <c r="C110" t="s">
        <v>347</v>
      </c>
      <c r="D110" t="s">
        <v>17</v>
      </c>
      <c r="E110" s="1">
        <v>46191</v>
      </c>
      <c r="F110" t="s">
        <v>4</v>
      </c>
      <c r="G110" t="s">
        <v>5</v>
      </c>
      <c r="H110">
        <v>88</v>
      </c>
      <c r="I110" s="3">
        <v>22000</v>
      </c>
      <c r="J110" t="s">
        <v>6</v>
      </c>
    </row>
    <row r="111" spans="1:10" x14ac:dyDescent="0.3">
      <c r="A111" t="s">
        <v>348</v>
      </c>
      <c r="B111" t="s">
        <v>349</v>
      </c>
      <c r="C111" t="s">
        <v>350</v>
      </c>
      <c r="D111" t="s">
        <v>10</v>
      </c>
      <c r="E111" s="1">
        <v>46192</v>
      </c>
      <c r="F111" t="s">
        <v>11</v>
      </c>
      <c r="G111" t="s">
        <v>12</v>
      </c>
      <c r="H111">
        <v>76</v>
      </c>
      <c r="I111" s="3">
        <v>12000</v>
      </c>
      <c r="J111" t="s">
        <v>13</v>
      </c>
    </row>
    <row r="112" spans="1:10" x14ac:dyDescent="0.3">
      <c r="A112" t="s">
        <v>351</v>
      </c>
      <c r="B112" t="s">
        <v>352</v>
      </c>
      <c r="C112" t="s">
        <v>353</v>
      </c>
      <c r="D112" t="s">
        <v>3</v>
      </c>
      <c r="E112" s="1">
        <v>46194</v>
      </c>
      <c r="F112" t="s">
        <v>4</v>
      </c>
      <c r="G112" t="s">
        <v>18</v>
      </c>
      <c r="H112">
        <v>84</v>
      </c>
      <c r="I112" s="3">
        <v>17000</v>
      </c>
      <c r="J112" t="s">
        <v>13</v>
      </c>
    </row>
    <row r="113" spans="1:10" x14ac:dyDescent="0.3">
      <c r="A113" t="s">
        <v>354</v>
      </c>
      <c r="B113" t="s">
        <v>355</v>
      </c>
      <c r="C113" t="s">
        <v>356</v>
      </c>
      <c r="D113" t="s">
        <v>22</v>
      </c>
      <c r="E113" s="1">
        <v>46195</v>
      </c>
      <c r="F113" t="s">
        <v>23</v>
      </c>
      <c r="G113" t="s">
        <v>43</v>
      </c>
      <c r="H113">
        <v>78</v>
      </c>
      <c r="I113" s="3">
        <v>10500</v>
      </c>
      <c r="J113" t="s">
        <v>13</v>
      </c>
    </row>
    <row r="114" spans="1:10" x14ac:dyDescent="0.3">
      <c r="A114" t="s">
        <v>357</v>
      </c>
      <c r="B114" t="s">
        <v>358</v>
      </c>
      <c r="C114" t="s">
        <v>359</v>
      </c>
      <c r="D114" t="s">
        <v>28</v>
      </c>
      <c r="E114" s="1">
        <v>46197</v>
      </c>
      <c r="F114" t="s">
        <v>4</v>
      </c>
      <c r="G114" t="s">
        <v>5</v>
      </c>
      <c r="H114">
        <v>86</v>
      </c>
      <c r="I114" s="3">
        <v>17500</v>
      </c>
      <c r="J114" t="s">
        <v>6</v>
      </c>
    </row>
    <row r="115" spans="1:10" x14ac:dyDescent="0.3">
      <c r="A115" t="s">
        <v>360</v>
      </c>
      <c r="B115" t="s">
        <v>361</v>
      </c>
      <c r="C115" t="s">
        <v>362</v>
      </c>
      <c r="D115" t="s">
        <v>10</v>
      </c>
      <c r="E115" s="1">
        <v>46198</v>
      </c>
      <c r="F115" t="s">
        <v>34</v>
      </c>
      <c r="G115" t="s">
        <v>24</v>
      </c>
      <c r="H115">
        <v>68</v>
      </c>
      <c r="I115" s="3">
        <v>10000</v>
      </c>
      <c r="J115" t="s">
        <v>13</v>
      </c>
    </row>
    <row r="116" spans="1:10" x14ac:dyDescent="0.3">
      <c r="A116" t="s">
        <v>363</v>
      </c>
      <c r="B116" t="s">
        <v>364</v>
      </c>
      <c r="C116" t="s">
        <v>365</v>
      </c>
      <c r="D116" t="s">
        <v>17</v>
      </c>
      <c r="E116" s="1">
        <v>46200</v>
      </c>
      <c r="F116" t="s">
        <v>4</v>
      </c>
      <c r="G116" t="s">
        <v>66</v>
      </c>
      <c r="H116">
        <v>91</v>
      </c>
      <c r="I116" s="3">
        <v>27000</v>
      </c>
      <c r="J116" t="s">
        <v>13</v>
      </c>
    </row>
    <row r="117" spans="1:10" x14ac:dyDescent="0.3">
      <c r="A117" t="s">
        <v>366</v>
      </c>
      <c r="B117" t="s">
        <v>367</v>
      </c>
      <c r="C117" t="s">
        <v>368</v>
      </c>
      <c r="D117" t="s">
        <v>22</v>
      </c>
      <c r="E117" s="1">
        <v>46201</v>
      </c>
      <c r="F117" t="s">
        <v>4</v>
      </c>
      <c r="G117" t="s">
        <v>12</v>
      </c>
      <c r="H117">
        <v>79</v>
      </c>
      <c r="I117" s="3">
        <v>11500</v>
      </c>
      <c r="J117" t="s">
        <v>13</v>
      </c>
    </row>
    <row r="118" spans="1:10" x14ac:dyDescent="0.3">
      <c r="A118" t="s">
        <v>369</v>
      </c>
      <c r="B118" t="s">
        <v>370</v>
      </c>
      <c r="C118" t="s">
        <v>371</v>
      </c>
      <c r="D118" t="s">
        <v>47</v>
      </c>
      <c r="E118" s="1">
        <v>46203</v>
      </c>
      <c r="F118" t="s">
        <v>11</v>
      </c>
      <c r="G118" t="s">
        <v>29</v>
      </c>
      <c r="H118">
        <v>52</v>
      </c>
      <c r="I118" s="3">
        <v>11000</v>
      </c>
      <c r="J118" t="s">
        <v>29</v>
      </c>
    </row>
    <row r="119" spans="1:10" x14ac:dyDescent="0.3">
      <c r="A119" t="s">
        <v>372</v>
      </c>
      <c r="B119" t="s">
        <v>373</v>
      </c>
      <c r="C119" t="s">
        <v>374</v>
      </c>
      <c r="D119" t="s">
        <v>10</v>
      </c>
      <c r="E119" s="1">
        <v>46204</v>
      </c>
      <c r="F119" t="s">
        <v>39</v>
      </c>
      <c r="G119" t="s">
        <v>24</v>
      </c>
      <c r="H119">
        <v>64</v>
      </c>
      <c r="I119" s="3">
        <v>8000</v>
      </c>
      <c r="J119" t="s">
        <v>13</v>
      </c>
    </row>
    <row r="120" spans="1:10" x14ac:dyDescent="0.3">
      <c r="A120" t="s">
        <v>375</v>
      </c>
      <c r="B120" t="s">
        <v>376</v>
      </c>
      <c r="C120" t="s">
        <v>377</v>
      </c>
      <c r="D120" t="s">
        <v>17</v>
      </c>
      <c r="E120" s="1">
        <v>46206</v>
      </c>
      <c r="F120" t="s">
        <v>4</v>
      </c>
      <c r="G120" t="s">
        <v>5</v>
      </c>
      <c r="H120">
        <v>87</v>
      </c>
      <c r="I120" s="3">
        <v>21000</v>
      </c>
      <c r="J120" t="s">
        <v>6</v>
      </c>
    </row>
    <row r="121" spans="1:10" x14ac:dyDescent="0.3">
      <c r="A121" t="s">
        <v>378</v>
      </c>
      <c r="B121" t="s">
        <v>379</v>
      </c>
      <c r="C121" t="s">
        <v>380</v>
      </c>
      <c r="D121" t="s">
        <v>22</v>
      </c>
      <c r="E121" s="1">
        <v>46207</v>
      </c>
      <c r="F121" t="s">
        <v>4</v>
      </c>
      <c r="G121" t="s">
        <v>66</v>
      </c>
      <c r="H121">
        <v>89</v>
      </c>
      <c r="I121" s="3">
        <v>19500</v>
      </c>
      <c r="J12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CA1E-9C78-4451-A18B-9F09AB2F1E49}">
  <dimension ref="A5:F81"/>
  <sheetViews>
    <sheetView tabSelected="1" topLeftCell="A61" workbookViewId="0">
      <selection activeCell="P78" sqref="P78"/>
    </sheetView>
  </sheetViews>
  <sheetFormatPr defaultRowHeight="14.4" x14ac:dyDescent="0.3"/>
  <cols>
    <col min="1" max="2" width="15.5546875" bestFit="1" customWidth="1"/>
    <col min="3" max="3" width="10" bestFit="1" customWidth="1"/>
    <col min="4" max="4" width="8.44140625" bestFit="1" customWidth="1"/>
    <col min="5" max="5" width="10" bestFit="1" customWidth="1"/>
    <col min="6" max="6" width="10.5546875" bestFit="1" customWidth="1"/>
    <col min="7" max="7" width="10" bestFit="1" customWidth="1"/>
    <col min="8" max="8" width="8.44140625" bestFit="1" customWidth="1"/>
    <col min="9" max="9" width="10" bestFit="1" customWidth="1"/>
    <col min="10" max="10" width="13.44140625" bestFit="1" customWidth="1"/>
    <col min="11" max="11" width="9.21875" bestFit="1" customWidth="1"/>
    <col min="12" max="12" width="10" bestFit="1" customWidth="1"/>
    <col min="13" max="13" width="8.44140625" bestFit="1" customWidth="1"/>
    <col min="14" max="14" width="12" bestFit="1" customWidth="1"/>
    <col min="15" max="15" width="17.88671875" bestFit="1" customWidth="1"/>
    <col min="16" max="16" width="10" bestFit="1" customWidth="1"/>
    <col min="17" max="17" width="8.44140625" bestFit="1" customWidth="1"/>
    <col min="18" max="18" width="10" bestFit="1" customWidth="1"/>
    <col min="19" max="19" width="20.77734375" bestFit="1" customWidth="1"/>
    <col min="20" max="20" width="10" bestFit="1" customWidth="1"/>
    <col min="21" max="21" width="8.44140625" bestFit="1" customWidth="1"/>
    <col min="22" max="22" width="10" bestFit="1" customWidth="1"/>
    <col min="23" max="23" width="11.21875" bestFit="1" customWidth="1"/>
    <col min="24" max="24" width="10" bestFit="1" customWidth="1"/>
    <col min="25" max="25" width="8.44140625" bestFit="1" customWidth="1"/>
    <col min="26" max="26" width="12.5546875" bestFit="1" customWidth="1"/>
    <col min="27" max="27" width="10" bestFit="1" customWidth="1"/>
    <col min="28" max="28" width="12.77734375" bestFit="1" customWidth="1"/>
    <col min="29" max="29" width="12.6640625" bestFit="1" customWidth="1"/>
    <col min="30" max="30" width="15.5546875" bestFit="1" customWidth="1"/>
    <col min="31" max="31" width="10.5546875" bestFit="1" customWidth="1"/>
  </cols>
  <sheetData>
    <row r="5" spans="1:3" x14ac:dyDescent="0.3">
      <c r="A5" t="s">
        <v>401</v>
      </c>
    </row>
    <row r="6" spans="1:3" x14ac:dyDescent="0.3">
      <c r="A6" s="7">
        <v>120</v>
      </c>
      <c r="C6">
        <f>GETPIVOTDATA("Candidate ID",$A$5)</f>
        <v>120</v>
      </c>
    </row>
    <row r="8" spans="1:3" x14ac:dyDescent="0.3">
      <c r="A8" s="5" t="s">
        <v>391</v>
      </c>
      <c r="B8" t="s">
        <v>402</v>
      </c>
    </row>
    <row r="9" spans="1:3" x14ac:dyDescent="0.3">
      <c r="A9" s="6" t="s">
        <v>66</v>
      </c>
      <c r="B9" s="7">
        <v>15</v>
      </c>
    </row>
    <row r="10" spans="1:3" x14ac:dyDescent="0.3">
      <c r="A10" s="6" t="s">
        <v>43</v>
      </c>
      <c r="B10" s="7">
        <v>10</v>
      </c>
    </row>
    <row r="11" spans="1:3" x14ac:dyDescent="0.3">
      <c r="A11" s="6" t="s">
        <v>12</v>
      </c>
      <c r="B11" s="7">
        <v>24</v>
      </c>
    </row>
    <row r="12" spans="1:3" x14ac:dyDescent="0.3">
      <c r="A12" s="6" t="s">
        <v>5</v>
      </c>
      <c r="B12" s="7">
        <v>25</v>
      </c>
    </row>
    <row r="13" spans="1:3" x14ac:dyDescent="0.3">
      <c r="A13" s="6" t="s">
        <v>29</v>
      </c>
      <c r="B13" s="7">
        <v>14</v>
      </c>
    </row>
    <row r="14" spans="1:3" x14ac:dyDescent="0.3">
      <c r="A14" s="6" t="s">
        <v>24</v>
      </c>
      <c r="B14" s="7">
        <v>16</v>
      </c>
    </row>
    <row r="15" spans="1:3" x14ac:dyDescent="0.3">
      <c r="A15" s="6" t="s">
        <v>18</v>
      </c>
      <c r="B15" s="7">
        <v>16</v>
      </c>
    </row>
    <row r="16" spans="1:3" x14ac:dyDescent="0.3">
      <c r="A16" s="6" t="s">
        <v>392</v>
      </c>
      <c r="B16" s="7">
        <v>120</v>
      </c>
    </row>
    <row r="19" spans="1:5" x14ac:dyDescent="0.3">
      <c r="A19" s="5" t="s">
        <v>391</v>
      </c>
      <c r="B19" t="s">
        <v>401</v>
      </c>
    </row>
    <row r="20" spans="1:5" x14ac:dyDescent="0.3">
      <c r="A20" s="6" t="s">
        <v>6</v>
      </c>
      <c r="B20" s="7">
        <v>25</v>
      </c>
      <c r="D20" t="str" cm="1">
        <f t="array" ref="D20:E23">A20:B23</f>
        <v>Hired</v>
      </c>
      <c r="E20">
        <v>25</v>
      </c>
    </row>
    <row r="21" spans="1:5" x14ac:dyDescent="0.3">
      <c r="A21" s="6" t="s">
        <v>13</v>
      </c>
      <c r="B21" s="7">
        <v>78</v>
      </c>
      <c r="D21" t="str">
        <v>In Progress</v>
      </c>
      <c r="E21">
        <v>78</v>
      </c>
    </row>
    <row r="22" spans="1:5" x14ac:dyDescent="0.3">
      <c r="A22" s="6" t="s">
        <v>29</v>
      </c>
      <c r="B22" s="7">
        <v>14</v>
      </c>
      <c r="D22" t="str">
        <v>Rejected</v>
      </c>
      <c r="E22">
        <v>14</v>
      </c>
    </row>
    <row r="23" spans="1:5" x14ac:dyDescent="0.3">
      <c r="A23" s="6" t="s">
        <v>168</v>
      </c>
      <c r="B23" s="7">
        <v>3</v>
      </c>
      <c r="D23" t="str">
        <v>Withdrawn</v>
      </c>
      <c r="E23">
        <v>3</v>
      </c>
    </row>
    <row r="24" spans="1:5" x14ac:dyDescent="0.3">
      <c r="A24" s="6" t="s">
        <v>392</v>
      </c>
      <c r="B24" s="7">
        <v>120</v>
      </c>
    </row>
    <row r="26" spans="1:5" x14ac:dyDescent="0.3">
      <c r="A26" s="6" t="s">
        <v>403</v>
      </c>
    </row>
    <row r="27" spans="1:5" x14ac:dyDescent="0.3">
      <c r="A27" s="9">
        <f>E20/C6</f>
        <v>0.20833333333333334</v>
      </c>
    </row>
    <row r="29" spans="1:5" x14ac:dyDescent="0.3">
      <c r="A29" s="5" t="s">
        <v>391</v>
      </c>
      <c r="B29" t="s">
        <v>401</v>
      </c>
    </row>
    <row r="30" spans="1:5" x14ac:dyDescent="0.3">
      <c r="A30" s="6" t="s">
        <v>17</v>
      </c>
      <c r="B30" s="7">
        <v>25</v>
      </c>
    </row>
    <row r="31" spans="1:5" x14ac:dyDescent="0.3">
      <c r="A31" s="6" t="s">
        <v>10</v>
      </c>
      <c r="B31" s="7">
        <v>23</v>
      </c>
    </row>
    <row r="32" spans="1:5" x14ac:dyDescent="0.3">
      <c r="A32" s="6" t="s">
        <v>22</v>
      </c>
      <c r="B32" s="7">
        <v>22</v>
      </c>
    </row>
    <row r="33" spans="1:2" x14ac:dyDescent="0.3">
      <c r="A33" s="6" t="s">
        <v>28</v>
      </c>
      <c r="B33" s="7">
        <v>13</v>
      </c>
    </row>
    <row r="34" spans="1:2" x14ac:dyDescent="0.3">
      <c r="A34" s="6" t="s">
        <v>47</v>
      </c>
      <c r="B34" s="7">
        <v>13</v>
      </c>
    </row>
    <row r="35" spans="1:2" x14ac:dyDescent="0.3">
      <c r="A35" s="6" t="s">
        <v>3</v>
      </c>
      <c r="B35" s="7">
        <v>10</v>
      </c>
    </row>
    <row r="36" spans="1:2" x14ac:dyDescent="0.3">
      <c r="A36" s="6" t="s">
        <v>38</v>
      </c>
      <c r="B36" s="7">
        <v>8</v>
      </c>
    </row>
    <row r="37" spans="1:2" x14ac:dyDescent="0.3">
      <c r="A37" s="6" t="s">
        <v>33</v>
      </c>
      <c r="B37" s="7">
        <v>6</v>
      </c>
    </row>
    <row r="38" spans="1:2" x14ac:dyDescent="0.3">
      <c r="A38" s="6" t="s">
        <v>392</v>
      </c>
      <c r="B38" s="7">
        <v>120</v>
      </c>
    </row>
    <row r="41" spans="1:2" x14ac:dyDescent="0.3">
      <c r="A41" s="5" t="s">
        <v>391</v>
      </c>
    </row>
    <row r="42" spans="1:2" x14ac:dyDescent="0.3">
      <c r="A42" s="6" t="s">
        <v>11</v>
      </c>
    </row>
    <row r="43" spans="1:2" x14ac:dyDescent="0.3">
      <c r="A43" s="6" t="s">
        <v>70</v>
      </c>
    </row>
    <row r="44" spans="1:2" x14ac:dyDescent="0.3">
      <c r="A44" s="6" t="s">
        <v>34</v>
      </c>
    </row>
    <row r="45" spans="1:2" x14ac:dyDescent="0.3">
      <c r="A45" s="6" t="s">
        <v>113</v>
      </c>
    </row>
    <row r="46" spans="1:2" x14ac:dyDescent="0.3">
      <c r="A46" s="6" t="s">
        <v>92</v>
      </c>
    </row>
    <row r="47" spans="1:2" x14ac:dyDescent="0.3">
      <c r="A47" s="6" t="s">
        <v>39</v>
      </c>
    </row>
    <row r="48" spans="1:2" x14ac:dyDescent="0.3">
      <c r="A48" s="6" t="s">
        <v>4</v>
      </c>
    </row>
    <row r="49" spans="1:2" x14ac:dyDescent="0.3">
      <c r="A49" s="6" t="s">
        <v>23</v>
      </c>
    </row>
    <row r="50" spans="1:2" x14ac:dyDescent="0.3">
      <c r="A50" s="6" t="s">
        <v>392</v>
      </c>
    </row>
    <row r="56" spans="1:2" x14ac:dyDescent="0.3">
      <c r="A56" s="5" t="s">
        <v>391</v>
      </c>
      <c r="B56" t="s">
        <v>401</v>
      </c>
    </row>
    <row r="57" spans="1:2" x14ac:dyDescent="0.3">
      <c r="A57" s="6" t="s">
        <v>394</v>
      </c>
      <c r="B57" s="7">
        <v>17</v>
      </c>
    </row>
    <row r="58" spans="1:2" x14ac:dyDescent="0.3">
      <c r="A58" s="6" t="s">
        <v>397</v>
      </c>
      <c r="B58" s="7">
        <v>19</v>
      </c>
    </row>
    <row r="59" spans="1:2" x14ac:dyDescent="0.3">
      <c r="A59" s="6" t="s">
        <v>393</v>
      </c>
      <c r="B59" s="7">
        <v>20</v>
      </c>
    </row>
    <row r="60" spans="1:2" x14ac:dyDescent="0.3">
      <c r="A60" s="6" t="s">
        <v>398</v>
      </c>
      <c r="B60" s="7">
        <v>20</v>
      </c>
    </row>
    <row r="61" spans="1:2" x14ac:dyDescent="0.3">
      <c r="A61" s="6" t="s">
        <v>395</v>
      </c>
      <c r="B61" s="7">
        <v>21</v>
      </c>
    </row>
    <row r="62" spans="1:2" x14ac:dyDescent="0.3">
      <c r="A62" s="6" t="s">
        <v>396</v>
      </c>
      <c r="B62" s="7">
        <v>20</v>
      </c>
    </row>
    <row r="63" spans="1:2" x14ac:dyDescent="0.3">
      <c r="A63" s="6" t="s">
        <v>399</v>
      </c>
      <c r="B63" s="7">
        <v>3</v>
      </c>
    </row>
    <row r="64" spans="1:2" x14ac:dyDescent="0.3">
      <c r="A64" s="6" t="s">
        <v>392</v>
      </c>
      <c r="B64" s="7">
        <v>120</v>
      </c>
    </row>
    <row r="70" spans="1:6" x14ac:dyDescent="0.3">
      <c r="A70" t="s">
        <v>404</v>
      </c>
    </row>
    <row r="71" spans="1:6" x14ac:dyDescent="0.3">
      <c r="A71" s="5" t="s">
        <v>401</v>
      </c>
      <c r="B71" s="5" t="s">
        <v>400</v>
      </c>
    </row>
    <row r="72" spans="1:6" x14ac:dyDescent="0.3">
      <c r="A72" s="5" t="s">
        <v>391</v>
      </c>
      <c r="B72" t="s">
        <v>6</v>
      </c>
      <c r="C72" t="s">
        <v>13</v>
      </c>
      <c r="D72" t="s">
        <v>29</v>
      </c>
      <c r="E72" t="s">
        <v>168</v>
      </c>
      <c r="F72" t="s">
        <v>392</v>
      </c>
    </row>
    <row r="73" spans="1:6" x14ac:dyDescent="0.3">
      <c r="A73" s="6" t="s">
        <v>4</v>
      </c>
      <c r="B73" s="7">
        <v>19</v>
      </c>
      <c r="C73" s="7">
        <v>33</v>
      </c>
      <c r="D73" s="7">
        <v>6</v>
      </c>
      <c r="E73" s="7"/>
      <c r="F73" s="7">
        <v>58</v>
      </c>
    </row>
    <row r="74" spans="1:6" x14ac:dyDescent="0.3">
      <c r="A74" s="6" t="s">
        <v>11</v>
      </c>
      <c r="B74" s="7">
        <v>2</v>
      </c>
      <c r="C74" s="7">
        <v>14</v>
      </c>
      <c r="D74" s="7">
        <v>2</v>
      </c>
      <c r="E74" s="7">
        <v>1</v>
      </c>
      <c r="F74" s="7">
        <v>19</v>
      </c>
    </row>
    <row r="75" spans="1:6" x14ac:dyDescent="0.3">
      <c r="A75" s="6" t="s">
        <v>23</v>
      </c>
      <c r="B75" s="7">
        <v>3</v>
      </c>
      <c r="C75" s="7">
        <v>10</v>
      </c>
      <c r="D75" s="7">
        <v>1</v>
      </c>
      <c r="E75" s="7"/>
      <c r="F75" s="7">
        <v>14</v>
      </c>
    </row>
    <row r="76" spans="1:6" x14ac:dyDescent="0.3">
      <c r="A76" s="6" t="s">
        <v>34</v>
      </c>
      <c r="B76" s="7">
        <v>1</v>
      </c>
      <c r="C76" s="7">
        <v>9</v>
      </c>
      <c r="D76" s="7">
        <v>2</v>
      </c>
      <c r="E76" s="7">
        <v>1</v>
      </c>
      <c r="F76" s="7">
        <v>13</v>
      </c>
    </row>
    <row r="77" spans="1:6" x14ac:dyDescent="0.3">
      <c r="A77" s="6" t="s">
        <v>39</v>
      </c>
      <c r="B77" s="7"/>
      <c r="C77" s="7">
        <v>7</v>
      </c>
      <c r="D77" s="7">
        <v>2</v>
      </c>
      <c r="E77" s="7">
        <v>1</v>
      </c>
      <c r="F77" s="7">
        <v>10</v>
      </c>
    </row>
    <row r="78" spans="1:6" x14ac:dyDescent="0.3">
      <c r="A78" s="6" t="s">
        <v>70</v>
      </c>
      <c r="B78" s="7"/>
      <c r="C78" s="7">
        <v>2</v>
      </c>
      <c r="D78" s="7">
        <v>1</v>
      </c>
      <c r="E78" s="7"/>
      <c r="F78" s="7">
        <v>3</v>
      </c>
    </row>
    <row r="79" spans="1:6" x14ac:dyDescent="0.3">
      <c r="A79" s="6" t="s">
        <v>113</v>
      </c>
      <c r="B79" s="7"/>
      <c r="C79" s="7">
        <v>2</v>
      </c>
      <c r="D79" s="7"/>
      <c r="E79" s="7"/>
      <c r="F79" s="7">
        <v>2</v>
      </c>
    </row>
    <row r="80" spans="1:6" x14ac:dyDescent="0.3">
      <c r="A80" s="6" t="s">
        <v>92</v>
      </c>
      <c r="B80" s="7"/>
      <c r="C80" s="7">
        <v>1</v>
      </c>
      <c r="D80" s="7"/>
      <c r="E80" s="7"/>
      <c r="F80" s="7">
        <v>1</v>
      </c>
    </row>
    <row r="81" spans="1:6" x14ac:dyDescent="0.3">
      <c r="A81" s="6" t="s">
        <v>392</v>
      </c>
      <c r="B81" s="7">
        <v>25</v>
      </c>
      <c r="C81" s="7">
        <v>78</v>
      </c>
      <c r="D81" s="7">
        <v>14</v>
      </c>
      <c r="E81" s="7">
        <v>3</v>
      </c>
      <c r="F81" s="7">
        <v>120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4BEF-EC57-4180-A207-E37A7EE1FEFB}">
  <dimension ref="A1"/>
  <sheetViews>
    <sheetView topLeftCell="A11" zoomScale="69" workbookViewId="0">
      <selection activeCell="Y26" sqref="Y26"/>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 Saudi Recruitment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Adrienné Edwards-Lord</dc:creator>
  <cp:lastModifiedBy>Adrienné Edwards-Lord</cp:lastModifiedBy>
  <dcterms:created xsi:type="dcterms:W3CDTF">2026-10-09T17:12:02Z</dcterms:created>
  <dcterms:modified xsi:type="dcterms:W3CDTF">2026-10-11T13:40:13Z</dcterms:modified>
</cp:coreProperties>
</file>